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esterngovernorsuniversity-my.sharepoint.com/personal/mepperson_wgu_edu/Documents/Desktop/Desktop Stuff/Refunds Reports/Random Projects/Comment Matrix Tool/"/>
    </mc:Choice>
  </mc:AlternateContent>
  <xr:revisionPtr revIDLastSave="22" documentId="8_{EDA2909B-2FA5-4A51-AF4D-7B76B64A4A52}" xr6:coauthVersionLast="45" xr6:coauthVersionMax="45" xr10:uidLastSave="{6C8C54A3-25AD-4104-883C-975FB7EAE708}"/>
  <bookViews>
    <workbookView xWindow="-120" yWindow="-120" windowWidth="29040" windowHeight="15720" tabRatio="631" xr2:uid="{00000000-000D-0000-FFFF-FFFF00000000}"/>
  </bookViews>
  <sheets>
    <sheet name="SAP TM" sheetId="6" r:id="rId1"/>
    <sheet name="Drop" sheetId="7" state="hidden" r:id="rId2"/>
    <sheet name="Never Start" sheetId="8" r:id="rId3"/>
    <sheet name="Roll" sheetId="9" state="hidden" r:id="rId4"/>
    <sheet name="Term Break" sheetId="10" r:id="rId5"/>
    <sheet name="Grad" sheetId="4" r:id="rId6"/>
    <sheet name="Term Removal" sheetId="11" r:id="rId7"/>
    <sheet name="Withdrawal" sheetId="12" r:id="rId8"/>
    <sheet name="Page 1" sheetId="1" state="hidden" r:id="rId9"/>
    <sheet name="Page 2" sheetId="2" state="hidden" r:id="rId10"/>
  </sheets>
  <definedNames>
    <definedName name="ACGrant1">'Page 1'!$Y$13</definedName>
    <definedName name="ACGrant2">'Page 1'!$AL$13</definedName>
    <definedName name="BoxA">'Page 1'!$Z$18</definedName>
    <definedName name="BoxB">'Page 1'!$Z$28</definedName>
    <definedName name="BoxC">'Page 1'!$AM$18</definedName>
    <definedName name="BoxD">'Page 1'!$AM$28</definedName>
    <definedName name="BoxE">'Page 1'!$BB$14</definedName>
    <definedName name="BoxF">'Page 1'!$BB$19</definedName>
    <definedName name="BoxG">'Page 1'!$BB$28</definedName>
    <definedName name="BoxH">'Page 1'!$Z$61</definedName>
    <definedName name="BoxI">'Page 1'!$BE$35</definedName>
    <definedName name="BoxJ">'Page 1'!$BD$55</definedName>
    <definedName name="BoxK">'Page 2'!$U$11</definedName>
    <definedName name="BoxL">'Page 2'!$W$21</definedName>
    <definedName name="BoxM">'Page 2'!$W$25</definedName>
    <definedName name="BoxN">'Page 2'!$U$31</definedName>
    <definedName name="BoxO">'Page 2'!$V$37</definedName>
    <definedName name="BoxP">'Page 2'!$V$51</definedName>
    <definedName name="BoxQ">'Page 2'!$BC$10</definedName>
    <definedName name="BoxR">'Page 2'!$BC$21</definedName>
    <definedName name="BoxS">'Page 2'!$BC$32</definedName>
    <definedName name="BoxT">'Page 2'!$BC$38</definedName>
    <definedName name="BoxU">'Page 2'!$BC$44</definedName>
    <definedName name="FSEOG1">'Page 1'!$Y$15</definedName>
    <definedName name="FSEOG2">'Page 1'!$AL$15</definedName>
    <definedName name="GPLUS1">'Page 1'!$Y$25</definedName>
    <definedName name="GPlus2">'Page 1'!$AL$25</definedName>
    <definedName name="IRAQ1">'Page 1'!$Y$17</definedName>
    <definedName name="Iraq2">'Page 1'!$AL$17</definedName>
    <definedName name="Name">'Page 1'!$K$3</definedName>
    <definedName name="Pell1">'Page 1'!$Y$12</definedName>
    <definedName name="Pell2">'Page 1'!$AL$12</definedName>
    <definedName name="PercentComplete">'Page 1'!$Y$56</definedName>
    <definedName name="Perk1">'Page 1'!$Y$24</definedName>
    <definedName name="Perk2">'Page 1'!$AL$24</definedName>
    <definedName name="PPlus1">'Page 1'!$Y$26</definedName>
    <definedName name="PPlus2">'Page 1'!$AL$26</definedName>
    <definedName name="_xlnm.Print_Area" localSheetId="8">'Page 1'!$A$1:$BK$62</definedName>
    <definedName name="_xlnm.Print_Area" localSheetId="9">'Page 2'!$A$1:$BK$62</definedName>
    <definedName name="_xlnm.Print_Area" localSheetId="7">Withdrawal!$A$1:$BK$62</definedName>
    <definedName name="SMART1">'Page 1'!$Y$14</definedName>
    <definedName name="SMART2">'Page 1'!$AL$14</definedName>
    <definedName name="Social">'Page 1'!$AT$3</definedName>
    <definedName name="StudentName">'Page 1'!$K$3</definedName>
    <definedName name="SubLoan1">'Page 1'!$Y$23</definedName>
    <definedName name="SubLoan2">'Page 1'!$AL$23</definedName>
    <definedName name="TEACH1">'Page 1'!$Y$16</definedName>
    <definedName name="Teach2">'Page 1'!$AL$16</definedName>
    <definedName name="Unsub1">'Page 1'!$Y$22</definedName>
    <definedName name="Unsub2">'Page 1'!$AL$22</definedName>
    <definedName name="Withdraw">'Page 1'!$AT$4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0" i="12" l="1"/>
  <c r="I19" i="12"/>
  <c r="I18" i="12"/>
  <c r="I17" i="12"/>
  <c r="I16" i="12"/>
  <c r="H20" i="12"/>
  <c r="H19" i="12"/>
  <c r="H18" i="12"/>
  <c r="H17" i="12"/>
  <c r="H16" i="12"/>
  <c r="V33" i="11" l="1"/>
  <c r="J16" i="11" l="1"/>
  <c r="J16" i="6"/>
  <c r="J15" i="11"/>
  <c r="J15" i="6"/>
  <c r="T15" i="11"/>
  <c r="V14" i="6"/>
  <c r="T14" i="11"/>
  <c r="H16" i="6"/>
  <c r="T14" i="6"/>
  <c r="W15" i="12"/>
  <c r="W16" i="12"/>
  <c r="O29" i="12"/>
  <c r="M29" i="12"/>
  <c r="AB51" i="12" l="1"/>
  <c r="AA51" i="12"/>
  <c r="AB50" i="12"/>
  <c r="AA50" i="12"/>
  <c r="L20" i="4" l="1"/>
  <c r="J20" i="4"/>
  <c r="H20" i="4"/>
  <c r="L17" i="10" l="1"/>
  <c r="Q25" i="4"/>
  <c r="Q24" i="4"/>
  <c r="Q23" i="4"/>
  <c r="Q22" i="4"/>
  <c r="Q20" i="4"/>
  <c r="Q19" i="4"/>
  <c r="Q18" i="4"/>
  <c r="U30" i="6" l="1"/>
  <c r="U29" i="6"/>
  <c r="U27" i="6"/>
  <c r="S20" i="6"/>
  <c r="S25" i="4"/>
  <c r="S24" i="4"/>
  <c r="S23" i="4"/>
  <c r="S22" i="4"/>
  <c r="S20" i="4"/>
  <c r="H24" i="12" l="1"/>
  <c r="K24" i="12" l="1"/>
  <c r="AB62" i="12" l="1"/>
  <c r="AA62" i="12"/>
  <c r="AA59" i="12"/>
  <c r="AA58" i="12"/>
  <c r="AB59" i="12"/>
  <c r="AB58" i="12"/>
  <c r="V61" i="12" l="1"/>
  <c r="V62" i="12"/>
  <c r="T62" i="12"/>
  <c r="T61" i="12"/>
  <c r="V37" i="12"/>
  <c r="V36" i="12"/>
  <c r="T37" i="12"/>
  <c r="T36" i="12"/>
  <c r="T23" i="12"/>
  <c r="T21" i="12"/>
  <c r="T20" i="12"/>
  <c r="V42" i="12" l="1"/>
  <c r="V41" i="12"/>
  <c r="V40" i="12"/>
  <c r="AB49" i="12"/>
  <c r="AA49" i="12"/>
  <c r="AB57" i="12"/>
  <c r="AA57" i="12"/>
  <c r="AB31" i="12"/>
  <c r="Q18" i="10" l="1"/>
  <c r="Q17" i="10"/>
  <c r="Q19" i="10"/>
  <c r="Q20" i="10"/>
  <c r="Q21" i="10"/>
  <c r="Q22" i="10"/>
  <c r="S17" i="10"/>
  <c r="S18" i="10"/>
  <c r="S19" i="10"/>
  <c r="H22" i="12" l="1"/>
  <c r="Z67" i="12"/>
  <c r="Z66" i="12"/>
  <c r="Z65" i="12"/>
  <c r="Z64" i="12"/>
  <c r="Z54" i="12"/>
  <c r="Z56" i="12"/>
  <c r="Z57" i="12"/>
  <c r="T69" i="12" l="1"/>
  <c r="V69" i="12"/>
  <c r="V68" i="12"/>
  <c r="T68" i="12"/>
  <c r="V65" i="12" l="1"/>
  <c r="T26" i="12"/>
  <c r="V66" i="12"/>
  <c r="T41" i="12"/>
  <c r="T27" i="12"/>
  <c r="T65" i="12"/>
  <c r="T28" i="12"/>
  <c r="T66" i="12"/>
  <c r="T40" i="12"/>
  <c r="T42" i="12"/>
  <c r="V56" i="12"/>
  <c r="T56" i="12"/>
  <c r="U33" i="11" l="1"/>
  <c r="U32" i="11"/>
  <c r="U26" i="11"/>
  <c r="W25" i="11"/>
  <c r="W24" i="11"/>
  <c r="W18" i="11"/>
  <c r="R28" i="11"/>
  <c r="R27" i="11"/>
  <c r="R26" i="11"/>
  <c r="U23" i="11"/>
  <c r="U22" i="11"/>
  <c r="U16" i="11"/>
  <c r="S25" i="11"/>
  <c r="S24" i="11"/>
  <c r="S18" i="11"/>
  <c r="Q25" i="11"/>
  <c r="Q24" i="11"/>
  <c r="Q18" i="11"/>
  <c r="Q24" i="8"/>
  <c r="Q23" i="8"/>
  <c r="U21" i="11"/>
  <c r="U20" i="11"/>
  <c r="U19" i="11"/>
  <c r="U18" i="11"/>
  <c r="U17" i="11"/>
  <c r="R27" i="4"/>
  <c r="R26" i="4"/>
  <c r="W23" i="4"/>
  <c r="U23" i="4"/>
  <c r="U133" i="12"/>
  <c r="R27" i="10"/>
  <c r="R25" i="10"/>
  <c r="S24" i="10"/>
  <c r="S23" i="10"/>
  <c r="S22" i="10"/>
  <c r="Q24" i="10"/>
  <c r="Q23" i="10"/>
  <c r="U33" i="6"/>
  <c r="U34" i="6"/>
  <c r="W25" i="6"/>
  <c r="W24" i="6"/>
  <c r="U25" i="6"/>
  <c r="U24" i="6"/>
  <c r="R28" i="6"/>
  <c r="Q25" i="6" s="1"/>
  <c r="R27" i="6"/>
  <c r="R26" i="6"/>
  <c r="S24" i="6"/>
  <c r="S25" i="6"/>
  <c r="U32" i="6"/>
  <c r="U31" i="6"/>
  <c r="U28" i="6"/>
  <c r="C25" i="11" l="1"/>
  <c r="Q23" i="6"/>
  <c r="Q24" i="6"/>
  <c r="D25" i="11" l="1"/>
  <c r="Z106" i="12"/>
  <c r="Z112" i="12"/>
  <c r="Z111" i="12"/>
  <c r="Z107" i="12"/>
  <c r="AL22" i="1"/>
  <c r="Z105" i="12" l="1"/>
  <c r="Z113" i="12"/>
  <c r="U109" i="12"/>
  <c r="Z103" i="12"/>
  <c r="Z104" i="12"/>
  <c r="Z114" i="12"/>
  <c r="Z110" i="12"/>
  <c r="M33" i="12" l="1"/>
  <c r="O33" i="12"/>
  <c r="V67" i="12"/>
  <c r="T67" i="12"/>
  <c r="X66" i="12" l="1"/>
  <c r="X65" i="12"/>
  <c r="X57" i="12"/>
  <c r="X56" i="12"/>
  <c r="Q18" i="6" l="1"/>
  <c r="X156" i="12" l="1"/>
  <c r="X157" i="12"/>
  <c r="X165" i="12"/>
  <c r="X174" i="12"/>
  <c r="G27" i="12"/>
  <c r="G26" i="12"/>
  <c r="Y199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U257" i="12"/>
  <c r="U242" i="12"/>
  <c r="U241" i="12"/>
  <c r="U240" i="12"/>
  <c r="U239" i="12"/>
  <c r="U235" i="12"/>
  <c r="U234" i="12"/>
  <c r="U233" i="12"/>
  <c r="U231" i="12"/>
  <c r="U230" i="12"/>
  <c r="U229" i="12"/>
  <c r="U226" i="12"/>
  <c r="U225" i="12"/>
  <c r="U224" i="12"/>
  <c r="U222" i="12"/>
  <c r="U219" i="12"/>
  <c r="U217" i="12"/>
  <c r="U216" i="12"/>
  <c r="U208" i="12"/>
  <c r="U207" i="12"/>
  <c r="U206" i="12"/>
  <c r="U205" i="12"/>
  <c r="U204" i="12"/>
  <c r="U203" i="12"/>
  <c r="K25" i="12"/>
  <c r="K26" i="12"/>
  <c r="K27" i="12"/>
  <c r="H25" i="12"/>
  <c r="H26" i="12"/>
  <c r="H27" i="12"/>
  <c r="Y144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45" i="12"/>
  <c r="X155" i="12" a="1"/>
  <c r="X155" i="12" l="1"/>
  <c r="T203" i="12" l="1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02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144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145" i="12"/>
  <c r="W144" i="12"/>
  <c r="Z30" i="12"/>
  <c r="E27" i="6" l="1"/>
  <c r="O5" i="6" s="1"/>
  <c r="E25" i="6"/>
  <c r="O4" i="6" s="1"/>
  <c r="E24" i="6"/>
  <c r="O3" i="6" s="1"/>
  <c r="E22" i="11"/>
  <c r="U138" i="12"/>
  <c r="U139" i="12"/>
  <c r="V71" i="12"/>
  <c r="T71" i="12"/>
  <c r="V59" i="12"/>
  <c r="T59" i="12"/>
  <c r="U141" i="12"/>
  <c r="T3" i="12" l="1"/>
  <c r="Z55" i="12" s="1"/>
  <c r="Y3" i="12"/>
  <c r="X7" i="12"/>
  <c r="X15" i="12"/>
  <c r="Y15" i="12"/>
  <c r="X16" i="12"/>
  <c r="U19" i="12"/>
  <c r="Z19" i="12"/>
  <c r="U20" i="12"/>
  <c r="Z20" i="12"/>
  <c r="U21" i="12"/>
  <c r="Z21" i="12"/>
  <c r="Z22" i="12"/>
  <c r="U23" i="12"/>
  <c r="U24" i="12"/>
  <c r="U25" i="12"/>
  <c r="U26" i="12"/>
  <c r="U27" i="12"/>
  <c r="U136" i="12" s="1"/>
  <c r="U28" i="12"/>
  <c r="AB30" i="12"/>
  <c r="V31" i="12"/>
  <c r="Z34" i="12"/>
  <c r="V70" i="12" s="1"/>
  <c r="T35" i="12"/>
  <c r="V35" i="12"/>
  <c r="Z35" i="12"/>
  <c r="Z36" i="12"/>
  <c r="Z37" i="12"/>
  <c r="X86" i="12"/>
  <c r="Z86" i="12"/>
  <c r="X87" i="12"/>
  <c r="Z87" i="12"/>
  <c r="X88" i="12"/>
  <c r="Z88" i="12"/>
  <c r="T89" i="12"/>
  <c r="V89" i="12" s="1"/>
  <c r="X89" i="12"/>
  <c r="Z89" i="12"/>
  <c r="T92" i="12"/>
  <c r="V92" i="12" s="1"/>
  <c r="X92" i="12"/>
  <c r="Z92" i="12"/>
  <c r="X93" i="12"/>
  <c r="Z93" i="12"/>
  <c r="X94" i="12"/>
  <c r="Z94" i="12"/>
  <c r="T96" i="12"/>
  <c r="Y96" i="12"/>
  <c r="T106" i="12"/>
  <c r="V106" i="12"/>
  <c r="U111" i="12"/>
  <c r="U112" i="12"/>
  <c r="U113" i="12"/>
  <c r="AB119" i="12"/>
  <c r="X120" i="12"/>
  <c r="U125" i="12" s="1"/>
  <c r="Z120" i="12"/>
  <c r="AB120" i="12"/>
  <c r="X121" i="12"/>
  <c r="Z121" i="12"/>
  <c r="V112" i="12"/>
  <c r="V111" i="12"/>
  <c r="V109" i="12"/>
  <c r="X90" i="12" s="1"/>
  <c r="U110" i="12"/>
  <c r="X30" i="12" l="1"/>
  <c r="U122" i="12"/>
  <c r="T70" i="12"/>
  <c r="Z90" i="12"/>
  <c r="Z68" i="12"/>
  <c r="AA120" i="12"/>
  <c r="Z25" i="12"/>
  <c r="V110" i="12"/>
  <c r="W92" i="12"/>
  <c r="AC92" i="12"/>
  <c r="AB92" i="12"/>
  <c r="AC89" i="12"/>
  <c r="AB89" i="12"/>
  <c r="W89" i="12"/>
  <c r="V103" i="12"/>
  <c r="V113" i="12"/>
  <c r="T103" i="12"/>
  <c r="AL23" i="1"/>
  <c r="Z91" i="12" l="1"/>
  <c r="X96" i="12" s="1"/>
  <c r="X91" i="12"/>
  <c r="X97" i="12" s="1"/>
  <c r="U31" i="12"/>
  <c r="X31" i="12"/>
  <c r="Z31" i="12" s="1"/>
  <c r="U126" i="12"/>
  <c r="Z108" i="12"/>
  <c r="Z115" i="12"/>
  <c r="T109" i="12" l="1"/>
  <c r="Z117" i="12"/>
  <c r="L15" i="4"/>
  <c r="L16" i="4"/>
  <c r="U19" i="4"/>
  <c r="W19" i="4"/>
  <c r="W18" i="4"/>
  <c r="U18" i="4"/>
  <c r="W22" i="4"/>
  <c r="W21" i="4"/>
  <c r="W20" i="4"/>
  <c r="U22" i="4"/>
  <c r="U21" i="4"/>
  <c r="U20" i="4"/>
  <c r="T26" i="4"/>
  <c r="R34" i="8"/>
  <c r="R33" i="8"/>
  <c r="R32" i="4" l="1"/>
  <c r="U26" i="4"/>
  <c r="W26" i="4"/>
  <c r="U27" i="4" l="1"/>
  <c r="R33" i="4"/>
  <c r="E23" i="11"/>
  <c r="O5" i="11" s="1"/>
  <c r="O4" i="11"/>
  <c r="D26" i="11"/>
  <c r="O3" i="11" s="1"/>
  <c r="R31" i="4"/>
  <c r="J17" i="10"/>
  <c r="H17" i="10"/>
  <c r="S16" i="10"/>
  <c r="S15" i="10"/>
  <c r="Q16" i="10"/>
  <c r="Q15" i="10"/>
  <c r="R32" i="8"/>
  <c r="W21" i="6" l="1"/>
  <c r="W20" i="6"/>
  <c r="W19" i="6"/>
  <c r="W18" i="6"/>
  <c r="U21" i="6"/>
  <c r="U20" i="6"/>
  <c r="U19" i="6"/>
  <c r="U18" i="6"/>
  <c r="S23" i="6"/>
  <c r="S22" i="6"/>
  <c r="S21" i="6"/>
  <c r="Q21" i="6"/>
  <c r="Q22" i="8"/>
  <c r="Q21" i="8"/>
  <c r="Q20" i="8"/>
  <c r="Q19" i="8"/>
  <c r="S21" i="10"/>
  <c r="S20" i="10"/>
  <c r="S21" i="4"/>
  <c r="Q21" i="4"/>
  <c r="U29" i="11"/>
  <c r="U28" i="11"/>
  <c r="U27" i="11"/>
  <c r="W21" i="11"/>
  <c r="W20" i="11"/>
  <c r="W19" i="11"/>
  <c r="S21" i="11"/>
  <c r="S20" i="11"/>
  <c r="S19" i="11"/>
  <c r="Q21" i="11"/>
  <c r="Q20" i="11"/>
  <c r="Q19" i="11"/>
  <c r="H16" i="11" l="1"/>
  <c r="W23" i="6" l="1"/>
  <c r="W22" i="6"/>
  <c r="U23" i="6"/>
  <c r="U22" i="6"/>
  <c r="S19" i="6"/>
  <c r="S18" i="6"/>
  <c r="U31" i="11"/>
  <c r="U30" i="11"/>
  <c r="W23" i="11"/>
  <c r="W22" i="11"/>
  <c r="S23" i="11"/>
  <c r="S22" i="11"/>
  <c r="L20" i="6"/>
  <c r="L19" i="6"/>
  <c r="J20" i="6"/>
  <c r="H20" i="6"/>
  <c r="L15" i="6"/>
  <c r="L16" i="6"/>
  <c r="L20" i="11"/>
  <c r="L16" i="11"/>
  <c r="L19" i="11"/>
  <c r="L15" i="11"/>
  <c r="Q6" i="6" l="1"/>
  <c r="Q6" i="11"/>
  <c r="Q20" i="6"/>
  <c r="Q22" i="6"/>
  <c r="Q19" i="6"/>
  <c r="L16" i="10"/>
  <c r="L17" i="8"/>
  <c r="L16" i="8"/>
  <c r="Q7" i="6" l="1"/>
  <c r="Q10" i="6" s="1"/>
  <c r="J20" i="11"/>
  <c r="H20" i="11"/>
  <c r="J16" i="4"/>
  <c r="H16" i="4"/>
  <c r="J17" i="8"/>
  <c r="H17" i="8"/>
  <c r="E4" i="12" l="1"/>
  <c r="U30" i="12" s="1"/>
  <c r="Q18" i="7" l="1"/>
  <c r="Q17" i="7"/>
  <c r="Q18" i="8"/>
  <c r="Q17" i="8"/>
  <c r="U15" i="10"/>
  <c r="U18" i="10" s="1"/>
  <c r="S19" i="4"/>
  <c r="S18" i="4"/>
  <c r="Q23" i="11"/>
  <c r="Q22" i="11"/>
  <c r="V28" i="11"/>
  <c r="V26" i="11"/>
  <c r="V27" i="11"/>
  <c r="Q6" i="4" l="1"/>
  <c r="Q7" i="4"/>
  <c r="Q7" i="11"/>
  <c r="Q10" i="11" s="1"/>
  <c r="Q11" i="11" s="1"/>
  <c r="H8" i="10"/>
  <c r="U21" i="10"/>
  <c r="S6" i="4"/>
  <c r="R26" i="10"/>
  <c r="R31" i="10" s="1"/>
  <c r="C32" i="1" l="1"/>
  <c r="Q6" i="10"/>
  <c r="S8" i="9"/>
  <c r="Q4" i="9"/>
  <c r="Q3" i="9"/>
  <c r="S8" i="8"/>
  <c r="Q4" i="8"/>
  <c r="Q3" i="8"/>
  <c r="R8" i="7"/>
  <c r="S10" i="6"/>
  <c r="Q3" i="7"/>
  <c r="Q4" i="7"/>
  <c r="S4" i="6"/>
  <c r="Q4" i="6"/>
  <c r="Q3" i="6"/>
  <c r="Q5" i="9" l="1"/>
  <c r="Q5" i="8"/>
  <c r="Q5" i="7"/>
  <c r="AT3" i="1" l="1"/>
  <c r="AV2" i="2" s="1"/>
  <c r="Y32" i="1"/>
  <c r="O2" i="10" l="1"/>
  <c r="Q18" i="9"/>
  <c r="Q19" i="9"/>
  <c r="Q20" i="9"/>
  <c r="Q21" i="9"/>
  <c r="Q22" i="9"/>
  <c r="Q17" i="9"/>
  <c r="Q19" i="7"/>
  <c r="Q20" i="7"/>
  <c r="Q21" i="7"/>
  <c r="Q22" i="7"/>
  <c r="S8" i="6" l="1"/>
  <c r="K3" i="1" l="1"/>
  <c r="CU1" i="1" s="1"/>
  <c r="AT4" i="1"/>
  <c r="W15" i="2"/>
  <c r="AL26" i="1"/>
  <c r="AL25" i="1"/>
  <c r="AL24" i="1"/>
  <c r="Y26" i="1"/>
  <c r="Y25" i="1"/>
  <c r="Y24" i="1"/>
  <c r="Y23" i="1"/>
  <c r="Y22" i="1"/>
  <c r="AL15" i="1"/>
  <c r="AL14" i="1"/>
  <c r="AL13" i="1"/>
  <c r="AL12" i="1"/>
  <c r="Y15" i="1"/>
  <c r="Y14" i="1"/>
  <c r="Y13" i="1"/>
  <c r="Y12" i="1"/>
  <c r="N32" i="1"/>
  <c r="H5" i="11"/>
  <c r="R25" i="7"/>
  <c r="R25" i="8"/>
  <c r="R25" i="9"/>
  <c r="H8" i="8" l="1"/>
  <c r="O2" i="8" s="1"/>
  <c r="O2" i="11"/>
  <c r="H8" i="9"/>
  <c r="N2" i="9" s="1"/>
  <c r="H7" i="7"/>
  <c r="N2" i="7" s="1"/>
  <c r="Q10" i="4"/>
  <c r="Q11" i="4" s="1"/>
  <c r="H7" i="4" s="1"/>
  <c r="O2" i="4" s="1"/>
  <c r="Z18" i="1" l="1"/>
  <c r="Q11" i="6" l="1"/>
  <c r="Y49" i="1"/>
  <c r="C56" i="1" s="1"/>
  <c r="R44" i="6" l="1"/>
  <c r="H5" i="6" s="1"/>
  <c r="O2" i="6" s="1"/>
  <c r="K4" i="1"/>
  <c r="L2" i="2"/>
  <c r="Y53" i="1"/>
  <c r="AM18" i="1"/>
  <c r="BB25" i="1" s="1"/>
  <c r="Z28" i="1"/>
  <c r="BB24" i="1" s="1"/>
  <c r="AM28" i="1"/>
  <c r="BB26" i="1" s="1"/>
  <c r="X183" i="12" a="1"/>
  <c r="X176" i="12"/>
  <c r="X183" i="12" l="1"/>
  <c r="BB18" i="1"/>
  <c r="N56" i="1"/>
  <c r="Y56" i="1" s="1"/>
  <c r="BB13" i="1"/>
  <c r="BB19" i="1"/>
  <c r="BB14" i="1"/>
  <c r="AT55" i="1" s="1"/>
  <c r="BB12" i="1"/>
  <c r="BB17" i="1"/>
  <c r="BB23" i="1"/>
  <c r="BB28" i="1"/>
  <c r="AU35" i="1" s="1"/>
  <c r="X199" i="12" a="1"/>
  <c r="T55" i="12" l="1"/>
  <c r="V55" i="12"/>
  <c r="X64" i="12"/>
  <c r="X55" i="12"/>
  <c r="U100" i="12"/>
  <c r="X199" i="12"/>
  <c r="Z61" i="1"/>
  <c r="U53" i="2"/>
  <c r="X160" i="12" a="1"/>
  <c r="X172" i="12"/>
  <c r="X167" i="12"/>
  <c r="X158" i="12"/>
  <c r="X169" i="12" a="1"/>
  <c r="X163" i="12"/>
  <c r="X144" i="12" a="1"/>
  <c r="X162" i="12"/>
  <c r="X175" i="12"/>
  <c r="X150" i="12"/>
  <c r="X173" i="12"/>
  <c r="X149" i="12"/>
  <c r="X171" i="12"/>
  <c r="X166" i="12"/>
  <c r="X148" i="12"/>
  <c r="X153" i="12" a="1"/>
  <c r="X151" i="12" a="1"/>
  <c r="X145" i="12"/>
  <c r="X161" i="12"/>
  <c r="X159" i="12" a="1"/>
  <c r="X152" i="12" a="1"/>
  <c r="X154" i="12" a="1"/>
  <c r="X164" i="12"/>
  <c r="X170" i="12"/>
  <c r="X147" i="12"/>
  <c r="X168" i="12"/>
  <c r="X146" i="12"/>
  <c r="X169" i="12" l="1"/>
  <c r="X152" i="12"/>
  <c r="X153" i="12"/>
  <c r="X154" i="12"/>
  <c r="X144" i="12"/>
  <c r="X159" i="12"/>
  <c r="X160" i="12"/>
  <c r="X151" i="12"/>
  <c r="G24" i="12" s="1"/>
  <c r="AL35" i="1"/>
  <c r="BE35" i="1"/>
  <c r="BF55" i="1" s="1"/>
  <c r="T54" i="12" l="1"/>
  <c r="G25" i="12"/>
  <c r="BI55" i="1"/>
  <c r="BD55" i="1"/>
  <c r="AL55" i="1"/>
  <c r="BH55" i="1"/>
  <c r="BG55" i="1"/>
  <c r="BE55" i="1"/>
  <c r="BJ55" i="1"/>
  <c r="X54" i="12" l="1"/>
  <c r="V54" i="12"/>
  <c r="X63" i="12"/>
  <c r="X68" i="12" s="1"/>
  <c r="U49" i="2"/>
  <c r="U48" i="2"/>
  <c r="V26" i="12" s="1"/>
  <c r="U85" i="12"/>
  <c r="B11" i="2"/>
  <c r="W21" i="2"/>
  <c r="W25" i="2"/>
  <c r="J31" i="2" s="1"/>
  <c r="U11" i="2"/>
  <c r="J25" i="2"/>
  <c r="J11" i="2"/>
  <c r="T19" i="12" l="1"/>
  <c r="V34" i="12"/>
  <c r="T34" i="12"/>
  <c r="V60" i="12"/>
  <c r="T60" i="12"/>
  <c r="T86" i="12"/>
  <c r="X26" i="12"/>
  <c r="X40" i="12" a="1"/>
  <c r="X40" i="12" s="1"/>
  <c r="I11" i="12"/>
  <c r="X105" i="12"/>
  <c r="X112" i="12"/>
  <c r="AH10" i="2"/>
  <c r="U31" i="2"/>
  <c r="V37" i="2" s="1"/>
  <c r="B31" i="2"/>
  <c r="AC86" i="12" l="1"/>
  <c r="O34" i="12"/>
  <c r="V86" i="12"/>
  <c r="U86" i="12"/>
  <c r="AB86" i="12"/>
  <c r="W86" i="12"/>
  <c r="U46" i="2"/>
  <c r="AQ10" i="2"/>
  <c r="BC10" i="2"/>
  <c r="AH21" i="2" s="1"/>
  <c r="U47" i="2" l="1"/>
  <c r="T87" i="12"/>
  <c r="U50" i="2"/>
  <c r="V28" i="12" s="1"/>
  <c r="V87" i="12" l="1"/>
  <c r="AB87" i="12"/>
  <c r="AC87" i="12"/>
  <c r="W87" i="12"/>
  <c r="V20" i="12"/>
  <c r="U87" i="12"/>
  <c r="T88" i="12" l="1"/>
  <c r="U88" i="12" s="1"/>
  <c r="U89" i="12" s="1"/>
  <c r="U92" i="12" s="1"/>
  <c r="V53" i="12" l="1"/>
  <c r="T53" i="12"/>
  <c r="T91" i="12"/>
  <c r="V25" i="12" s="1"/>
  <c r="K30" i="12" s="1"/>
  <c r="W88" i="12"/>
  <c r="AC88" i="12"/>
  <c r="AB88" i="12"/>
  <c r="V88" i="12"/>
  <c r="X28" i="12"/>
  <c r="X42" i="12"/>
  <c r="V63" i="12"/>
  <c r="T24" i="12"/>
  <c r="T38" i="12"/>
  <c r="T63" i="12"/>
  <c r="U52" i="2"/>
  <c r="V51" i="2"/>
  <c r="BC21" i="2" s="1"/>
  <c r="AQ32" i="2" s="1"/>
  <c r="V51" i="12" l="1"/>
  <c r="AB48" i="12"/>
  <c r="AA48" i="12"/>
  <c r="AB56" i="12"/>
  <c r="AA56" i="12"/>
  <c r="T51" i="12" s="1"/>
  <c r="U91" i="12"/>
  <c r="V64" i="12"/>
  <c r="X60" i="12" s="1"/>
  <c r="T25" i="12"/>
  <c r="T64" i="12"/>
  <c r="X61" i="12" s="1"/>
  <c r="V39" i="12"/>
  <c r="T39" i="12"/>
  <c r="AB91" i="12"/>
  <c r="W91" i="12"/>
  <c r="AC91" i="12"/>
  <c r="V91" i="12"/>
  <c r="U54" i="2"/>
  <c r="U55" i="2" s="1"/>
  <c r="V23" i="12" s="1"/>
  <c r="V19" i="12"/>
  <c r="X104" i="12"/>
  <c r="X111" i="12"/>
  <c r="T94" i="12"/>
  <c r="AQ21" i="2"/>
  <c r="AH32" i="2"/>
  <c r="BC32" i="2"/>
  <c r="AH44" i="2" s="1"/>
  <c r="AQ38" i="2"/>
  <c r="BC38" i="2" s="1"/>
  <c r="AQ44" i="2" s="1"/>
  <c r="AH38" i="2"/>
  <c r="X39" i="12" l="1"/>
  <c r="X25" i="12"/>
  <c r="T90" i="12"/>
  <c r="AB60" i="12"/>
  <c r="AA60" i="12"/>
  <c r="N3" i="12" a="1"/>
  <c r="N3" i="12" s="1"/>
  <c r="T57" i="12"/>
  <c r="X19" i="12"/>
  <c r="X37" i="12"/>
  <c r="X23" i="12"/>
  <c r="X34" i="12"/>
  <c r="V21" i="12"/>
  <c r="X114" i="12"/>
  <c r="X107" i="12"/>
  <c r="V94" i="12"/>
  <c r="W94" i="12"/>
  <c r="AB94" i="12"/>
  <c r="AC94" i="12"/>
  <c r="BC44" i="2"/>
  <c r="BA56" i="2" s="1"/>
  <c r="V38" i="12" l="1"/>
  <c r="T119" i="12" s="1"/>
  <c r="U123" i="12" s="1"/>
  <c r="V24" i="12"/>
  <c r="U134" i="12"/>
  <c r="M34" i="12"/>
  <c r="K34" i="12"/>
  <c r="AA61" i="12"/>
  <c r="AB61" i="12"/>
  <c r="W90" i="12"/>
  <c r="AB90" i="12"/>
  <c r="V90" i="12"/>
  <c r="AC90" i="12"/>
  <c r="U90" i="12"/>
  <c r="X21" i="12"/>
  <c r="X36" i="12"/>
  <c r="X20" i="12"/>
  <c r="X35" i="12"/>
  <c r="BA58" i="2"/>
  <c r="BA59" i="2"/>
  <c r="BA57" i="2"/>
  <c r="AB47" i="12" l="1"/>
  <c r="AA47" i="12"/>
  <c r="U135" i="12"/>
  <c r="U127" i="12"/>
  <c r="T93" i="12"/>
  <c r="V27" i="12" s="1"/>
  <c r="M30" i="12" s="1"/>
  <c r="V50" i="12"/>
  <c r="AA55" i="12"/>
  <c r="T50" i="12" s="1"/>
  <c r="X103" i="12"/>
  <c r="AB55" i="12"/>
  <c r="X110" i="12"/>
  <c r="T72" i="12"/>
  <c r="G2" i="12" s="1"/>
  <c r="U119" i="12" l="1"/>
  <c r="U137" i="12"/>
  <c r="V93" i="12"/>
  <c r="AC93" i="12"/>
  <c r="AB93" i="12"/>
  <c r="W93" i="12"/>
  <c r="U93" i="12"/>
  <c r="U94" i="12" s="1"/>
  <c r="X38" i="12"/>
  <c r="X24" i="12"/>
  <c r="H6" i="12"/>
  <c r="V73" i="12"/>
  <c r="O30" i="12" s="1"/>
  <c r="V76" i="12"/>
  <c r="V83" i="12" s="1"/>
  <c r="V74" i="12"/>
  <c r="V75" i="12"/>
  <c r="V47" i="12" l="1"/>
  <c r="T47" i="12"/>
  <c r="I12" i="12" a="1"/>
  <c r="I12" i="12" s="1"/>
  <c r="V52" i="12"/>
  <c r="T52" i="12"/>
  <c r="X106" i="12"/>
  <c r="X108" i="12" s="1"/>
  <c r="X41" i="12"/>
  <c r="X27" i="12"/>
  <c r="X113" i="12"/>
  <c r="X115" i="12" s="1"/>
  <c r="X50" i="12"/>
  <c r="Z28" i="12"/>
  <c r="Z73" i="12"/>
  <c r="T49" i="12"/>
  <c r="V49" i="12"/>
  <c r="T48" i="12"/>
  <c r="Z74" i="12"/>
  <c r="V48" i="12"/>
  <c r="V80" i="12"/>
  <c r="T80" i="12"/>
  <c r="X73" i="12"/>
  <c r="X76" i="12"/>
  <c r="Z76" i="12"/>
  <c r="T83" i="12"/>
  <c r="X75" i="12"/>
  <c r="Z75" i="12"/>
  <c r="T82" i="12"/>
  <c r="V82" i="12"/>
  <c r="V81" i="12"/>
  <c r="X74" i="12"/>
  <c r="T81" i="12"/>
  <c r="X117" i="12" l="1"/>
  <c r="Z23" i="12"/>
  <c r="X51" i="12"/>
  <c r="X80" i="12"/>
  <c r="X83" i="12"/>
  <c r="T6" i="12" s="1"/>
  <c r="L3" i="12" a="1"/>
  <c r="L3" i="12" s="1"/>
  <c r="X81" i="12"/>
  <c r="I6" i="12" a="1"/>
  <c r="I6" i="12" s="1"/>
  <c r="X48" i="12"/>
  <c r="Z46" i="12"/>
  <c r="X47" i="12"/>
  <c r="Z45" i="12"/>
  <c r="X82" i="12"/>
  <c r="T7" i="12" l="1"/>
  <c r="T44" i="12"/>
  <c r="U10" i="12" l="1" a="1"/>
  <c r="U10" i="12" s="1"/>
  <c r="T11" i="12"/>
  <c r="U131" i="12" l="1"/>
  <c r="U129" i="12"/>
  <c r="U132" i="12"/>
  <c r="U128" i="12"/>
  <c r="K10" i="12" s="1"/>
  <c r="U130" i="12"/>
  <c r="R2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Terry</author>
  </authors>
  <commentList>
    <comment ref="U202" authorId="0" shapeId="0" xr:uid="{A3957DA1-E2AD-4A54-B1BE-52D78EB65D20}">
      <text>
        <r>
          <rPr>
            <b/>
            <sz val="9"/>
            <color indexed="81"/>
            <rFont val="Tahoma"/>
            <family val="2"/>
          </rPr>
          <t>Jessica Terry: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Refund Order:</t>
        </r>
        <r>
          <rPr>
            <sz val="9"/>
            <color indexed="81"/>
            <rFont val="Tahoma"/>
            <family val="2"/>
          </rPr>
          <t xml:space="preserve">
1- Minority Teach
2- Next Gen Hoosiers
3- CVO
4- National Guard
5- Adult Student Grant
6- SSACI
7- 21st Century</t>
        </r>
      </text>
    </comment>
    <comment ref="U209" authorId="0" shapeId="0" xr:uid="{4F55E488-E789-4298-AB33-912D9AD79EE4}">
      <text>
        <r>
          <rPr>
            <b/>
            <sz val="9"/>
            <color indexed="81"/>
            <rFont val="Tahoma"/>
            <family val="2"/>
          </rPr>
          <t>Jessica Terry: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Refund Order:</t>
        </r>
        <r>
          <rPr>
            <sz val="9"/>
            <color indexed="81"/>
            <rFont val="Tahoma"/>
            <family val="2"/>
          </rPr>
          <t xml:space="preserve">
1- Minority Teach
2- Next Gen Hoosiers
3- CVO
4- National Guard
5- Adult Student Grant
6- SSACI
7- 21st Century</t>
        </r>
      </text>
    </comment>
    <comment ref="U210" authorId="0" shapeId="0" xr:uid="{1C1F5085-93CA-4375-B7C8-269DCAEBFF62}">
      <text>
        <r>
          <rPr>
            <b/>
            <sz val="9"/>
            <color indexed="81"/>
            <rFont val="Tahoma"/>
            <family val="2"/>
          </rPr>
          <t>Jessica Terry: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Refund Order:</t>
        </r>
        <r>
          <rPr>
            <sz val="9"/>
            <color indexed="81"/>
            <rFont val="Tahoma"/>
            <family val="2"/>
          </rPr>
          <t xml:space="preserve">
1- Minority Teach
2- Next Gen Hoosiers
3- CVO
4- National Guard
5- Adult Student Grant
6- SSACI
7- 21st Century</t>
        </r>
      </text>
    </comment>
    <comment ref="U211" authorId="0" shapeId="0" xr:uid="{26823457-F89F-489C-BACC-DC91FCB0ED59}">
      <text>
        <r>
          <rPr>
            <b/>
            <sz val="9"/>
            <color indexed="81"/>
            <rFont val="Tahoma"/>
            <family val="2"/>
          </rPr>
          <t>Jessica Terry: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Refund Order:</t>
        </r>
        <r>
          <rPr>
            <sz val="9"/>
            <color indexed="81"/>
            <rFont val="Tahoma"/>
            <family val="2"/>
          </rPr>
          <t xml:space="preserve">
1- Minority Teach
2- Next Gen Hoosiers
3- CVO
4- National Guard
5- Adult Student Grant
6- SSACI
7- 21st Century</t>
        </r>
      </text>
    </comment>
    <comment ref="U212" authorId="0" shapeId="0" xr:uid="{E5CB3259-6748-4DC2-ADB8-397658C03312}">
      <text>
        <r>
          <rPr>
            <b/>
            <sz val="9"/>
            <color indexed="81"/>
            <rFont val="Tahoma"/>
            <family val="2"/>
          </rPr>
          <t>Jessica Terry: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Refund Order:</t>
        </r>
        <r>
          <rPr>
            <sz val="9"/>
            <color indexed="81"/>
            <rFont val="Tahoma"/>
            <family val="2"/>
          </rPr>
          <t xml:space="preserve">
1- Minority Teach
2- Next Gen Hoosiers
3- CVO
4- National Guard
5- Adult Student Grant
6- SSACI
7- 21st Century</t>
        </r>
      </text>
    </comment>
    <comment ref="U218" authorId="0" shapeId="0" xr:uid="{F02ABB5B-EBDB-42D6-AD7A-1CFC20BCEEE4}">
      <text>
        <r>
          <rPr>
            <b/>
            <sz val="9"/>
            <color indexed="81"/>
            <rFont val="Tahoma"/>
            <family val="2"/>
          </rPr>
          <t>Jessica Terry: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Refund Order:</t>
        </r>
        <r>
          <rPr>
            <sz val="9"/>
            <color indexed="81"/>
            <rFont val="Tahoma"/>
            <family val="2"/>
          </rPr>
          <t xml:space="preserve">
1- Minority Teach
2- Next Gen Hoosiers
3- CVO
4- National Guard
5- Adult Student Grant
6- SSACI
7- 21st Century</t>
        </r>
      </text>
    </comment>
    <comment ref="U227" authorId="0" shapeId="0" xr:uid="{C72432F1-6AE2-45D0-9439-8DB6D6E82FC9}">
      <text>
        <r>
          <rPr>
            <b/>
            <sz val="9"/>
            <color indexed="81"/>
            <rFont val="Tahoma"/>
            <family val="2"/>
          </rPr>
          <t>Jessica Terry: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Refund Order:</t>
        </r>
        <r>
          <rPr>
            <sz val="9"/>
            <color indexed="81"/>
            <rFont val="Tahoma"/>
            <family val="2"/>
          </rPr>
          <t xml:space="preserve">
1- Minority Teach
2- Next Gen Hoosiers
3- CVO
4- National Guard
5- Adult Student Grant
6- SSACI
7- 21st Century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<sst xmlns="http://schemas.openxmlformats.org/spreadsheetml/2006/main" count="941" uniqueCount="643">
  <si>
    <t>Treatment Of Title IV Funds When A Student Withdraws From A Crdit-Hour Program</t>
  </si>
  <si>
    <t>Student's Name</t>
  </si>
  <si>
    <t>Social Security Number</t>
  </si>
  <si>
    <t>Date of determination that student withdrew</t>
  </si>
  <si>
    <t>Date form completed</t>
  </si>
  <si>
    <t>Period used for calculation (check one)</t>
  </si>
  <si>
    <t>Monetary amounts should be in dollars and cents (rounded to the nearest penny).
When calculating percentages, round to three decimal places. (For example, .4486 = .449, or 44.9%)</t>
  </si>
  <si>
    <t>STEP 1 : Student's Title IV Aid Information</t>
  </si>
  <si>
    <t>Title IV Grant Programs</t>
  </si>
  <si>
    <t>Amount Disbursed</t>
  </si>
  <si>
    <t>Amount that Could Have Been Disbursed</t>
  </si>
  <si>
    <t>E.</t>
  </si>
  <si>
    <t>Total Title IV aid disbursed for the period</t>
  </si>
  <si>
    <t>1. Pell Grant</t>
  </si>
  <si>
    <t>A.</t>
  </si>
  <si>
    <t>B.</t>
  </si>
  <si>
    <t>+</t>
  </si>
  <si>
    <t>4. FSEOG</t>
  </si>
  <si>
    <t>5. TEACH Grant</t>
  </si>
  <si>
    <t>F.</t>
  </si>
  <si>
    <t>Total Available Title IV grant aid for the period.</t>
  </si>
  <si>
    <t>C.</t>
  </si>
  <si>
    <t>Subtotal</t>
  </si>
  <si>
    <t>Net Amount Disbursed</t>
  </si>
  <si>
    <t>Net Amount that Could Have Been Disbursed</t>
  </si>
  <si>
    <t>7. Unsubsidized Direct Loan</t>
  </si>
  <si>
    <t>8. Subsidized Direct Loan</t>
  </si>
  <si>
    <t>9. Perkins Loan</t>
  </si>
  <si>
    <t>10. Direct Grad PLUS Loan</t>
  </si>
  <si>
    <t>11. Direct Parent PLUS Loan</t>
  </si>
  <si>
    <t>G.</t>
  </si>
  <si>
    <t>Total Title IV aid disbursed and that could have been disbursed for the period</t>
  </si>
  <si>
    <t>D.</t>
  </si>
  <si>
    <t>Step 2 : Percentage of Title IV Aid Earned</t>
  </si>
  <si>
    <t>Step 3: Amount of Title IV Aid Earned by the Student</t>
  </si>
  <si>
    <t>Start Date</t>
  </si>
  <si>
    <t>Scheduled end date</t>
  </si>
  <si>
    <t>Date of Withdrawal</t>
  </si>
  <si>
    <t xml:space="preserve">A school that is not required to take attendance may, for a </t>
  </si>
  <si>
    <t>student who withdraws without notification, enter 50% in</t>
  </si>
  <si>
    <t>Box H and proceed to Step 3. Or, the school may enter the</t>
  </si>
  <si>
    <t>last date of attendance at an academically related activity</t>
  </si>
  <si>
    <t>for the "withdrawal date," and proceed with te calculation</t>
  </si>
  <si>
    <t>as instructed. For a student who offically withdraws, enter</t>
  </si>
  <si>
    <t>the withdrawal date.</t>
  </si>
  <si>
    <t>H.</t>
  </si>
  <si>
    <t>Percentage of payment period or period of</t>
  </si>
  <si>
    <t>enrollment completed.</t>
  </si>
  <si>
    <t>Divide the calendar days completed in the period by the</t>
  </si>
  <si>
    <t>total calendar days in the period (excluding scheduled</t>
  </si>
  <si>
    <r>
      <t xml:space="preserve">breaks of five days or more </t>
    </r>
    <r>
      <rPr>
        <b/>
        <sz val="10"/>
        <color theme="1"/>
        <rFont val="Calibri"/>
        <family val="2"/>
        <scheme val="minor"/>
      </rPr>
      <t xml:space="preserve">AND </t>
    </r>
    <r>
      <rPr>
        <sz val="10"/>
        <color theme="1"/>
        <rFont val="Calibri"/>
        <family val="2"/>
        <scheme val="minor"/>
      </rPr>
      <t>days that the student</t>
    </r>
  </si>
  <si>
    <t>was on an approved leave of absence).</t>
  </si>
  <si>
    <t>If this percentage is greater than 60%, enter 100% in Box H</t>
  </si>
  <si>
    <t>and proceed to Step 3.</t>
  </si>
  <si>
    <t>If this percentage is less than or equal to 60%, enter that percentage</t>
  </si>
  <si>
    <t>in box H and proceed to Step 3.</t>
  </si>
  <si>
    <t>Days of Approved Absense</t>
  </si>
  <si>
    <t>Days in Scheduled Breaks</t>
  </si>
  <si>
    <t>Completed Days</t>
  </si>
  <si>
    <t>Total Days</t>
  </si>
  <si>
    <t>=</t>
  </si>
  <si>
    <t>Reduce Total Days by this number</t>
  </si>
  <si>
    <t>∕</t>
  </si>
  <si>
    <t>Multiply the percentage of Title IV aid earned (Box H) by</t>
  </si>
  <si>
    <t>the Total Title IV aid disbursed and that could have been</t>
  </si>
  <si>
    <t>disbursed for the period (Box G).</t>
  </si>
  <si>
    <t>I.</t>
  </si>
  <si>
    <t>Box H</t>
  </si>
  <si>
    <t>Box G</t>
  </si>
  <si>
    <t>◊</t>
  </si>
  <si>
    <t>If the amount in Box I is greater than the amount in</t>
  </si>
  <si>
    <t>Box E, go to Item J (post-withdrawal disbursement).</t>
  </si>
  <si>
    <t>If the amount in Box I is less than the amount in Box E,</t>
  </si>
  <si>
    <t>go to Title IV aid to be returned (Item K).</t>
  </si>
  <si>
    <t>If the amounts in Box I and Box E are equal, STOP.</t>
  </si>
  <si>
    <t>No further action is necessary.</t>
  </si>
  <si>
    <t>J.</t>
  </si>
  <si>
    <t>Post-withdrawal disbursement</t>
  </si>
  <si>
    <t>From the Amount of Title IV aid earned by the student</t>
  </si>
  <si>
    <t>(Box I) subtract the Total Title IV aid disbursed for the</t>
  </si>
  <si>
    <t>period (Box E). This is the amount of the post-</t>
  </si>
  <si>
    <t>withdrawal disbursement.</t>
  </si>
  <si>
    <t>-</t>
  </si>
  <si>
    <t>Box I</t>
  </si>
  <si>
    <t>Box E</t>
  </si>
  <si>
    <r>
      <t>Stop Here,</t>
    </r>
    <r>
      <rPr>
        <sz val="8"/>
        <color theme="1"/>
        <rFont val="Calibri"/>
        <family val="2"/>
        <scheme val="minor"/>
      </rPr>
      <t xml:space="preserve"> and enter the amount in "J" in  Box 1 on</t>
    </r>
  </si>
  <si>
    <t>Page 3 (Post-withdrawal disbursement tracking sheet).</t>
  </si>
  <si>
    <t>Step 4 continued&gt;</t>
  </si>
  <si>
    <t>Page 1 of 3</t>
  </si>
  <si>
    <t>STEP 4: Aid to be Disbursed or Returned CONTINUED</t>
  </si>
  <si>
    <t>From the Total Title IV aid disbursed for the period</t>
  </si>
  <si>
    <t>(BoxE) subtract the amount of Title IV aid earned by</t>
  </si>
  <si>
    <t xml:space="preserve">the student (Box I). This is the amount of Title IV aid </t>
  </si>
  <si>
    <t>that must be returned.</t>
  </si>
  <si>
    <t>K.</t>
  </si>
  <si>
    <t>STEP 5: Amount of Unearned Title IV Aid Due from the School</t>
  </si>
  <si>
    <t>L. Institutional charges</t>
  </si>
  <si>
    <t>for the period</t>
  </si>
  <si>
    <t>Tuition</t>
  </si>
  <si>
    <t>Room</t>
  </si>
  <si>
    <t>Board</t>
  </si>
  <si>
    <t>Other</t>
  </si>
  <si>
    <t>L.</t>
  </si>
  <si>
    <t>Total institutional charges</t>
  </si>
  <si>
    <t>(Add all charges together)</t>
  </si>
  <si>
    <t>M. Percentage of unearned Title IV aid</t>
  </si>
  <si>
    <t>M.</t>
  </si>
  <si>
    <t>N. Amount of unearned charges</t>
  </si>
  <si>
    <t>Multiply institutional charges for the period (Box L)</t>
  </si>
  <si>
    <t>by the percentage of unearned Title IV Aid (Box M).</t>
  </si>
  <si>
    <t>Box L</t>
  </si>
  <si>
    <t>Box M</t>
  </si>
  <si>
    <t>X</t>
  </si>
  <si>
    <t>O. Amount for school to return</t>
  </si>
  <si>
    <t>Compare the amount of Title IV aid to be returned</t>
  </si>
  <si>
    <t>(Box K) to amount of unearned charges (Box N),</t>
  </si>
  <si>
    <t>and enter the lesser amount.</t>
  </si>
  <si>
    <t>N.</t>
  </si>
  <si>
    <t>O.</t>
  </si>
  <si>
    <t>The school must return the unearned aid for which</t>
  </si>
  <si>
    <t>the school is responsible (Box O) by repaying funds</t>
  </si>
  <si>
    <t>to the following sources, in order, up to the total</t>
  </si>
  <si>
    <t>net amount disbursed from each source.</t>
  </si>
  <si>
    <t>P.</t>
  </si>
  <si>
    <t>Title IV Programs</t>
  </si>
  <si>
    <t>Amount for School to Return</t>
  </si>
  <si>
    <t>1. Unsubsidized Direct Loan</t>
  </si>
  <si>
    <t>2. Subsidized Direct Staff. Loan</t>
  </si>
  <si>
    <t>3. Perkins Loan</t>
  </si>
  <si>
    <t>4. Direct Grad PLUS Loan</t>
  </si>
  <si>
    <t>5. Direct Parent PLUS Loan</t>
  </si>
  <si>
    <t>Total loans the school must return</t>
  </si>
  <si>
    <t>6. Pell Grant</t>
  </si>
  <si>
    <t>STEP 7: Initial Amount of Unearned Title IV Aid Due 
from the Student</t>
  </si>
  <si>
    <t>STEP 6: Return of Funds by the School</t>
  </si>
  <si>
    <t>From the amount of Title IV aid to be returned (Box K) subtract</t>
  </si>
  <si>
    <t>the amount for the school to return (Box O).</t>
  </si>
  <si>
    <t>Q.</t>
  </si>
  <si>
    <t>Box K</t>
  </si>
  <si>
    <t>Box O</t>
  </si>
  <si>
    <r>
      <rPr>
        <sz val="8"/>
        <color theme="1"/>
        <rFont val="Calibri"/>
        <family val="2"/>
      </rPr>
      <t xml:space="preserve">◊ If Box Q is ≤ zero, </t>
    </r>
    <r>
      <rPr>
        <b/>
        <sz val="8"/>
        <color theme="1"/>
        <rFont val="Calibri"/>
        <family val="2"/>
      </rPr>
      <t xml:space="preserve">STOP. </t>
    </r>
    <r>
      <rPr>
        <sz val="8"/>
        <color theme="1"/>
        <rFont val="Calibri"/>
        <family val="2"/>
      </rPr>
      <t>If greater than zero, go to Step 8.</t>
    </r>
  </si>
  <si>
    <t>STEP 8: Repayment of the Student's loans</t>
  </si>
  <si>
    <t>From the Net loans disbursed to the student (Box B) subtract</t>
  </si>
  <si>
    <t>the total loans the school must return (Box P) to find the</t>
  </si>
  <si>
    <t>amount of Title IV loans the student is still responsible</t>
  </si>
  <si>
    <t>for repaying (Box R). These loans consist of loans the student</t>
  </si>
  <si>
    <t>has earned, or unearned loan funds the school is not</t>
  </si>
  <si>
    <t xml:space="preserve">responsible for repaying. They are repaid to the loan holders </t>
  </si>
  <si>
    <t>according to the terms of the borrower's promissory note.</t>
  </si>
  <si>
    <t>Box B</t>
  </si>
  <si>
    <t>Box P</t>
  </si>
  <si>
    <t>R.</t>
  </si>
  <si>
    <r>
      <rPr>
        <sz val="8"/>
        <color theme="1"/>
        <rFont val="Calibri"/>
        <family val="2"/>
      </rPr>
      <t xml:space="preserve">◊ </t>
    </r>
    <r>
      <rPr>
        <i/>
        <sz val="8"/>
        <color theme="1"/>
        <rFont val="Calibri"/>
        <family val="2"/>
      </rPr>
      <t xml:space="preserve">If Box Q is less than or equal to Box R. </t>
    </r>
    <r>
      <rPr>
        <b/>
        <i/>
        <sz val="8"/>
        <color theme="1"/>
        <rFont val="Calibri"/>
        <family val="2"/>
      </rPr>
      <t>STOP.</t>
    </r>
  </si>
  <si>
    <t>The only action a school must take is to notify the holders</t>
  </si>
  <si>
    <t>of the loans of the student's withdrawal date.</t>
  </si>
  <si>
    <r>
      <rPr>
        <sz val="8"/>
        <color theme="1"/>
        <rFont val="Calibri"/>
        <family val="2"/>
      </rPr>
      <t xml:space="preserve">◊ </t>
    </r>
    <r>
      <rPr>
        <i/>
        <sz val="8"/>
        <color theme="1"/>
        <rFont val="Calibri"/>
        <family val="2"/>
      </rPr>
      <t>If Box Q is greater than Box R, proceed to Step 9.</t>
    </r>
  </si>
  <si>
    <t>STEP 9: Grant Funds to be Returned</t>
  </si>
  <si>
    <t>S. Initial amount of Title IV grants for student to return</t>
  </si>
  <si>
    <t>From the initial amount of unearned Title IV aid due from</t>
  </si>
  <si>
    <t>the student (Box Q), subtract the amount of loans to be</t>
  </si>
  <si>
    <t>repaid by the student (Box R).</t>
  </si>
  <si>
    <t>Box Q</t>
  </si>
  <si>
    <t>Box R</t>
  </si>
  <si>
    <t>S.</t>
  </si>
  <si>
    <t>T. Amount of Title IV grant protection</t>
  </si>
  <si>
    <t>Multiply the total of Title IV grant aid that was disbursed</t>
  </si>
  <si>
    <t>and that ould have been disbursed for the period</t>
  </si>
  <si>
    <t>(Box F) by 50%.</t>
  </si>
  <si>
    <t>Box F</t>
  </si>
  <si>
    <t>T.</t>
  </si>
  <si>
    <t>U. Title IV grant funds for student to return</t>
  </si>
  <si>
    <t>From the Initial amount of Title IV grants for student to</t>
  </si>
  <si>
    <t>return (Box S), subtract the Amount of Ttile IV grant</t>
  </si>
  <si>
    <t>protection (Box T).</t>
  </si>
  <si>
    <t>Box S</t>
  </si>
  <si>
    <t>Box T</t>
  </si>
  <si>
    <t>U.</t>
  </si>
  <si>
    <r>
      <t xml:space="preserve">◊ </t>
    </r>
    <r>
      <rPr>
        <i/>
        <sz val="8"/>
        <color theme="1"/>
        <rFont val="Calibri"/>
        <family val="2"/>
      </rPr>
      <t xml:space="preserve">If Box U is </t>
    </r>
    <r>
      <rPr>
        <sz val="8"/>
        <color theme="1"/>
        <rFont val="Calibri"/>
        <family val="2"/>
      </rPr>
      <t>≤</t>
    </r>
    <r>
      <rPr>
        <i/>
        <sz val="8"/>
        <color theme="1"/>
        <rFont val="Calibri"/>
        <family val="2"/>
      </rPr>
      <t xml:space="preserve"> to zero, </t>
    </r>
    <r>
      <rPr>
        <b/>
        <i/>
        <sz val="8"/>
        <color theme="1"/>
        <rFont val="Calibri"/>
        <family val="2"/>
      </rPr>
      <t>STOP.</t>
    </r>
    <r>
      <rPr>
        <i/>
        <sz val="8"/>
        <color theme="1"/>
        <rFont val="Calibri"/>
        <family val="2"/>
      </rPr>
      <t xml:space="preserve"> If not, go to Step 10.</t>
    </r>
  </si>
  <si>
    <t>STEP 10: Return of Grant Funds by the Student</t>
  </si>
  <si>
    <t>Except as noted below, the student must return the unearned</t>
  </si>
  <si>
    <t>grant funds for which he or she is responsible (Box U). The grant</t>
  </si>
  <si>
    <t>returned by the student are applied in order as indicated, up</t>
  </si>
  <si>
    <t xml:space="preserve">to the amount disbursed from that grant program minus any </t>
  </si>
  <si>
    <t>grant funds the school is responsible for returning in Step 6</t>
  </si>
  <si>
    <t>Note that the student is not resposible for returning funds</t>
  </si>
  <si>
    <t>to any program to which the student owes $50.00 or less.</t>
  </si>
  <si>
    <t>Amount to return</t>
  </si>
  <si>
    <t>6. Iraq &amp; Afghanistan Service Grant</t>
  </si>
  <si>
    <t>Numerator Adjustments</t>
  </si>
  <si>
    <t>Denominator Adjustments</t>
  </si>
  <si>
    <t>0 - Excel R2T4 - Default Form</t>
  </si>
  <si>
    <t>7. Iraq &amp; Afghanistan Service</t>
  </si>
  <si>
    <t>8. FSEOG</t>
  </si>
  <si>
    <t>9. TEACH Grant</t>
  </si>
  <si>
    <t>2. Iraq and Afghanistan Service Grant</t>
  </si>
  <si>
    <t>3. FSEOG</t>
  </si>
  <si>
    <t>4. TEACH Grant</t>
  </si>
  <si>
    <t>Fund Type</t>
  </si>
  <si>
    <t>Disbursed</t>
  </si>
  <si>
    <t>Pell Grant</t>
  </si>
  <si>
    <t>Iraq and Afghanistan Service Grant</t>
  </si>
  <si>
    <t>FSEOG</t>
  </si>
  <si>
    <t>TEACH Grant</t>
  </si>
  <si>
    <t>Unsub</t>
  </si>
  <si>
    <t>Sub</t>
  </si>
  <si>
    <t>Grad Plus</t>
  </si>
  <si>
    <t>Parent Plus</t>
  </si>
  <si>
    <t>Perkins Loan</t>
  </si>
  <si>
    <t>Note:</t>
  </si>
  <si>
    <t>Cancelled Aid</t>
  </si>
  <si>
    <t>Pell</t>
  </si>
  <si>
    <t>Teach</t>
  </si>
  <si>
    <t>Est Pell</t>
  </si>
  <si>
    <t>Grad Date:</t>
  </si>
  <si>
    <t>Term1</t>
  </si>
  <si>
    <t>Term2</t>
  </si>
  <si>
    <t>*Term1 Radio Button values</t>
  </si>
  <si>
    <t>*Term2 Radio Button values</t>
  </si>
  <si>
    <t>*Links to the  Radio Buttons</t>
  </si>
  <si>
    <t>*formula to pull end date based off start date</t>
  </si>
  <si>
    <t>*Radio button options</t>
  </si>
  <si>
    <t>*pulls true or false based on if checkbox checked</t>
  </si>
  <si>
    <t>*Formats aid amounts</t>
  </si>
  <si>
    <t>*LP/AY changes based on if checkbox is checked</t>
  </si>
  <si>
    <t>Current AY:</t>
  </si>
  <si>
    <t>Future AY:</t>
  </si>
  <si>
    <t>*This updated the AY in the note</t>
  </si>
  <si>
    <t>*formula to pull 6 month end date based off start date</t>
  </si>
  <si>
    <t>*formula to pull 12 month end date based off start date</t>
  </si>
  <si>
    <t>Rolled Start:</t>
  </si>
  <si>
    <t>Term Break End:</t>
  </si>
  <si>
    <t>Term Break Start:</t>
  </si>
  <si>
    <t>Total</t>
  </si>
  <si>
    <t>*This is to keep the note blank if no fields entered</t>
  </si>
  <si>
    <t>Returned Aid</t>
  </si>
  <si>
    <t>*Term1 Radio Button Cancelled values</t>
  </si>
  <si>
    <t>*Term1 Radio Button Returned values</t>
  </si>
  <si>
    <t>*Term2 Radio Button Cancelled values</t>
  </si>
  <si>
    <t>*Term2 Radio Button Returned values</t>
  </si>
  <si>
    <t xml:space="preserve">LDA: </t>
  </si>
  <si>
    <t xml:space="preserve">DOD: </t>
  </si>
  <si>
    <t xml:space="preserve">Total Charges: </t>
  </si>
  <si>
    <t xml:space="preserve">Exit Email Sent: </t>
  </si>
  <si>
    <t>*this calculates term end date based off entered start date</t>
  </si>
  <si>
    <t>Cancelled</t>
  </si>
  <si>
    <t>Returned</t>
  </si>
  <si>
    <t>Term1 Cancelled</t>
  </si>
  <si>
    <t>Term2 Cancelled</t>
  </si>
  <si>
    <t>Term2 Returned</t>
  </si>
  <si>
    <t>Term1 Returned</t>
  </si>
  <si>
    <t>*This is the canceled amount for Term1 Radio</t>
  </si>
  <si>
    <t>*This is the returned amount for Term1 Radio</t>
  </si>
  <si>
    <t>Formatted Returned (Term1 Radio)</t>
  </si>
  <si>
    <t>*This is the canceled amount for Term2 Radio</t>
  </si>
  <si>
    <t>Cancel Total</t>
  </si>
  <si>
    <t>*This updates the AY in the note</t>
  </si>
  <si>
    <t>*This is to keep the note blank if no Cancel fields entered</t>
  </si>
  <si>
    <t>Formatted Returned (Term2 Radio)</t>
  </si>
  <si>
    <t>*This is the returned amount for Term2 Radio</t>
  </si>
  <si>
    <t>*This formats for returned box (Term1)</t>
  </si>
  <si>
    <t>*This formats for returned box (Term2)</t>
  </si>
  <si>
    <t>*Term 1 Radio option (For return section)</t>
  </si>
  <si>
    <t>*Term 2 Radio option (For return section)</t>
  </si>
  <si>
    <t>*optional</t>
  </si>
  <si>
    <t>*This gets to total in the Pell Overpayment section</t>
  </si>
  <si>
    <t>Overpayment</t>
  </si>
  <si>
    <t>Overpayment Formatted</t>
  </si>
  <si>
    <t>*This pulls the values from the R2T4 Form</t>
  </si>
  <si>
    <t>Overpyament Formatted for note:</t>
  </si>
  <si>
    <t>*Term1 Radio</t>
  </si>
  <si>
    <t>*Term2 Radio</t>
  </si>
  <si>
    <t>*The following 2 fields are the text that displays in note when Overpayment presesnt</t>
  </si>
  <si>
    <t>*This pulls from box J (PWD field)</t>
  </si>
  <si>
    <t>PWD Allocation</t>
  </si>
  <si>
    <t>*This is If the Withdrawal Change box has been checked.</t>
  </si>
  <si>
    <t xml:space="preserve">Return: </t>
  </si>
  <si>
    <t xml:space="preserve">Cancel: </t>
  </si>
  <si>
    <t>*This pulls the total from FTCHBD boxes</t>
  </si>
  <si>
    <t>*This formats FTCHBD</t>
  </si>
  <si>
    <t>FTCHBD TERM2</t>
  </si>
  <si>
    <t>FTCHBD TERM1</t>
  </si>
  <si>
    <t>*This compiles the totals for term2 and term1</t>
  </si>
  <si>
    <t xml:space="preserve">Previous %: </t>
  </si>
  <si>
    <t>*this is the one term award checkbox</t>
  </si>
  <si>
    <t>*This keeps FTCHBd out of note if blank</t>
  </si>
  <si>
    <t>*This links to deceased checkbox</t>
  </si>
  <si>
    <t>*This formats the values from the R2T4 form if not N/A, or if MT 60</t>
  </si>
  <si>
    <t>*This leaves term1 return field blank of zero</t>
  </si>
  <si>
    <t>*This leaves term2 return field blank of zero</t>
  </si>
  <si>
    <t>*this links to the military WD box</t>
  </si>
  <si>
    <t>*This the 1st disb sum</t>
  </si>
  <si>
    <t>*This is the 2nd disbursement sum</t>
  </si>
  <si>
    <t>Cancel (Gross)</t>
  </si>
  <si>
    <t>Disbursed (Net)</t>
  </si>
  <si>
    <t>1st Disb Formatted(Term1)</t>
  </si>
  <si>
    <t>2nd Disb Formatted(Term1)</t>
  </si>
  <si>
    <t>1st Disb Formatted(Term2)</t>
  </si>
  <si>
    <t>2nd Disb Formatted(Term2)</t>
  </si>
  <si>
    <t>Returned Scholarshi</t>
  </si>
  <si>
    <t>Cancelled Scholarship</t>
  </si>
  <si>
    <t>*This gets total formatted scholarship returned amounts</t>
  </si>
  <si>
    <t>*This gets total formatted scholarship cancelled amounts</t>
  </si>
  <si>
    <t>*selected  term1 radio button value</t>
  </si>
  <si>
    <t>*selected  term2 radio button value</t>
  </si>
  <si>
    <t>*this pulls total from Disb</t>
  </si>
  <si>
    <t>Undisbursed</t>
  </si>
  <si>
    <t>1 Disb 1 Undisbursed</t>
  </si>
  <si>
    <t>*this chooses the option based on radio button</t>
  </si>
  <si>
    <t>*this gets the total funds</t>
  </si>
  <si>
    <t>Schl total</t>
  </si>
  <si>
    <t>canc/schl total</t>
  </si>
  <si>
    <t xml:space="preserve">Student Name: </t>
  </si>
  <si>
    <t xml:space="preserve">Student ID: </t>
  </si>
  <si>
    <t>*This links to Est checkbox</t>
  </si>
  <si>
    <t>*This is the cancelled Est funds</t>
  </si>
  <si>
    <t>Formatted cancelled est funds</t>
  </si>
  <si>
    <t>*This gets total formatted est aid</t>
  </si>
  <si>
    <t>*selected Term1 radio button value</t>
  </si>
  <si>
    <t>*T2 end</t>
  </si>
  <si>
    <t>*T2 Start</t>
  </si>
  <si>
    <t>*This links to Term1 Radio</t>
  </si>
  <si>
    <t>*This links to Term2 Radio</t>
  </si>
  <si>
    <t>*Formats Term aid amounts</t>
  </si>
  <si>
    <t>*Term1 Radio button</t>
  </si>
  <si>
    <t>*Term1 radio button</t>
  </si>
  <si>
    <t>*Term2 radio button</t>
  </si>
  <si>
    <t>*Term2 Radio button</t>
  </si>
  <si>
    <t>*this is so period can be removed</t>
  </si>
  <si>
    <t>*Term2</t>
  </si>
  <si>
    <t>*Term1</t>
  </si>
  <si>
    <t>*this takes the term code and adds 01</t>
  </si>
  <si>
    <t>*This converts it to mm/dd/yyyy date</t>
  </si>
  <si>
    <t>Term Code:</t>
  </si>
  <si>
    <t xml:space="preserve">Term Code:  </t>
  </si>
  <si>
    <t xml:space="preserve">Term Code: </t>
  </si>
  <si>
    <t>*this is the formatted date from term code</t>
  </si>
  <si>
    <t>*this converts term code to date</t>
  </si>
  <si>
    <t xml:space="preserve"> </t>
  </si>
  <si>
    <t>*This is the cancelled Est funds formatted</t>
  </si>
  <si>
    <t>cxl total</t>
  </si>
  <si>
    <t>Dates</t>
  </si>
  <si>
    <t>Fund Total</t>
  </si>
  <si>
    <t>*this  gets to total from date fields</t>
  </si>
  <si>
    <t>Total All Fields</t>
  </si>
  <si>
    <t>*This gets the total from fund columns</t>
  </si>
  <si>
    <t>Total Funds</t>
  </si>
  <si>
    <t>Total CXL</t>
  </si>
  <si>
    <t>Total Ref</t>
  </si>
  <si>
    <t>*future cancelled</t>
  </si>
  <si>
    <t>Future Cancelled</t>
  </si>
  <si>
    <t>FTCHBD (Net)</t>
  </si>
  <si>
    <t>*T1Unsub</t>
  </si>
  <si>
    <t>*T1Sub</t>
  </si>
  <si>
    <t>*T1Perk</t>
  </si>
  <si>
    <t>*T1Grad</t>
  </si>
  <si>
    <t>*T1Parent</t>
  </si>
  <si>
    <t>*ftchb total</t>
  </si>
  <si>
    <t>Total CXL/Ret/ftchbd</t>
  </si>
  <si>
    <t>*Formatted PWD amounts for note</t>
  </si>
  <si>
    <t>Personal Notes:</t>
  </si>
  <si>
    <t>Subsidized Loan</t>
  </si>
  <si>
    <t>Unsubsidized Loan</t>
  </si>
  <si>
    <t>E-mail Cancel Amounts:</t>
  </si>
  <si>
    <t>E-mail Return Amounts:</t>
  </si>
  <si>
    <t>Origination Fee:</t>
  </si>
  <si>
    <t>Cancel Term1</t>
  </si>
  <si>
    <t>Cancel Term2</t>
  </si>
  <si>
    <t>Personal Note:</t>
  </si>
  <si>
    <t>Previous AY:</t>
  </si>
  <si>
    <t>AY:</t>
  </si>
  <si>
    <t xml:space="preserve">     AY:</t>
  </si>
  <si>
    <t xml:space="preserve"> AY:</t>
  </si>
  <si>
    <t xml:space="preserve">AY:  </t>
  </si>
  <si>
    <t>*this gets the future AY code based off combo box selection</t>
  </si>
  <si>
    <t>*combo box selection</t>
  </si>
  <si>
    <t>*Comb box selection</t>
  </si>
  <si>
    <t>*Combo box selection</t>
  </si>
  <si>
    <t>*Combo selection</t>
  </si>
  <si>
    <t>No R2T4 Needed</t>
  </si>
  <si>
    <t>Misc WD Notes</t>
  </si>
  <si>
    <t>*Misc notes drop down box</t>
  </si>
  <si>
    <t>Verification Not Completed</t>
  </si>
  <si>
    <t>MISC NOTES</t>
  </si>
  <si>
    <t>No CXL</t>
  </si>
  <si>
    <t>Reviewed TERMINATION STUDENT ACADEMIC PROGRESS. No revision needed, future Financial Aid is not awarded.</t>
  </si>
  <si>
    <t>FA Already CXL-Manual</t>
  </si>
  <si>
    <t>FA Already CXL-Automatic</t>
  </si>
  <si>
    <t>Reviewed TERMINATION STUDENT ACADEMIC PROGRESS. No revision needed as future Financial Aid already cancelled.</t>
  </si>
  <si>
    <t>Reviewed TERMINATION STUDENT ACADEMIC PROGRESS. No revision needed as future Financial Aid already cancelled through automated process.</t>
  </si>
  <si>
    <t>IC Status</t>
  </si>
  <si>
    <t>SAP Appeal Approved</t>
  </si>
  <si>
    <t>Private Loans</t>
  </si>
  <si>
    <t>Stu WD but now AS</t>
  </si>
  <si>
    <t>Verified Exceeds 150%</t>
  </si>
  <si>
    <t>In Good Standing</t>
  </si>
  <si>
    <t>TERMINATION STUDENT ACADEMIC PROGRESS reviewed. No revision needed. Student in GOOD STANDING.</t>
  </si>
  <si>
    <t>TERMINATION STUDENT ACADEMIC PROGRESS reviewed. No revision needed. Student in WARNING status.</t>
  </si>
  <si>
    <t>Reviewed TERMINATION STUDENT ACADEMIC PROGRESS. Student currently in IC status. Waiting for manual recheck to be completed.</t>
  </si>
  <si>
    <t xml:space="preserve">Reviewed TERMINATION STUDENT ACADEMIC PROGRESS. No revision needed. Student SAP appeal was approved. </t>
  </si>
  <si>
    <t xml:space="preserve">TERMINATION STUDENT ACADEMIC PROGRESS reviewed. No revision needed. Student OK to receive private loan while Financial Aid is terminated. </t>
  </si>
  <si>
    <t>Reviewed TERMINATION STUDENT ACADEMIC PROGRESS. No revision needed since student rescinded withdrawal and is still in active status and has until the end of term to complete CU's.</t>
  </si>
  <si>
    <t>Warning Status</t>
  </si>
  <si>
    <t>Exceeds 150% Rule</t>
  </si>
  <si>
    <t>SAP Status Correction</t>
  </si>
  <si>
    <t>*This links to the misc note box</t>
  </si>
  <si>
    <t>Misc Notes</t>
  </si>
  <si>
    <t>FA Already CXL - Manual</t>
  </si>
  <si>
    <t>FA Already CXL - Automatic</t>
  </si>
  <si>
    <t>Stu back in AS</t>
  </si>
  <si>
    <t>Prep Auto/Man Pckg only</t>
  </si>
  <si>
    <t>Reviewed NEVER START drop case. No revision needed as Financial Aid already cancelled.</t>
  </si>
  <si>
    <t>Reviewed NEVER START drop case. No revision needed as Financial Aid already cancelled through automated process.</t>
  </si>
  <si>
    <t>*This is the Rolled checkbox</t>
  </si>
  <si>
    <t>*Ref Total</t>
  </si>
  <si>
    <t>*this pulls date 2 weeks from today for PWD</t>
  </si>
  <si>
    <t>Roll Start Revised</t>
  </si>
  <si>
    <t>--Misc Notes--</t>
  </si>
  <si>
    <t>*This links to the combo box</t>
  </si>
  <si>
    <t>No CXL - Automatic</t>
  </si>
  <si>
    <t>*This links to combo box</t>
  </si>
  <si>
    <t>*Links to combo box</t>
  </si>
  <si>
    <t xml:space="preserve">Case Subject: </t>
  </si>
  <si>
    <t xml:space="preserve">Case Description:  </t>
  </si>
  <si>
    <t>*Links to Email combo box</t>
  </si>
  <si>
    <t>Cancelled/Returned</t>
  </si>
  <si>
    <t>No Cancel/Refund Needed</t>
  </si>
  <si>
    <t>Stu in AS</t>
  </si>
  <si>
    <t>VA Funds</t>
  </si>
  <si>
    <t>This student’s FA has been cancelled and returned. Please let me know if you need anything else. Thanks.</t>
  </si>
  <si>
    <t>This student is not receiving FA. No refund or cancellation is needed. Please let me know if you need anything else. Thanks.</t>
  </si>
  <si>
    <t>This student is in AS status and has active tuition charges for 202206.No cancellation or return completed. Please let me know if you need anything else. Thanks.</t>
  </si>
  <si>
    <t>This student is not receiving FA but did receive VA funds. No FA refund or cancellation is needed. Please let me know if you need anything else. Thanks.</t>
  </si>
  <si>
    <t>Email Contacts</t>
  </si>
  <si>
    <t>Email Prompt Notes</t>
  </si>
  <si>
    <t>Records</t>
  </si>
  <si>
    <t>Teresa Patton</t>
  </si>
  <si>
    <t>Candace Allred</t>
  </si>
  <si>
    <t>VA</t>
  </si>
  <si>
    <t>Rescinded WD</t>
  </si>
  <si>
    <t>Reviewed Withdrawal case. No R2T4 needed. Student has rescinded their WD.</t>
  </si>
  <si>
    <t>Electronic Signature</t>
  </si>
  <si>
    <t>You submitted a copy of your Post Withdrawal Offer letter with an electronic signature. Your offer letter must include a pen to paper signature for verification purposes. Please resubmit your document with a pen to paper signature to fadocs@wgu.edu or by fax to 1-877-219-3461.</t>
  </si>
  <si>
    <t>*This is formatted for misc notes</t>
  </si>
  <si>
    <t>*This gets cancelled amnts for misc notes</t>
  </si>
  <si>
    <t>Date Total</t>
  </si>
  <si>
    <t>NO CXL-AUTOMATIC</t>
  </si>
  <si>
    <t>*T1Pell</t>
  </si>
  <si>
    <t>*T1Grant</t>
  </si>
  <si>
    <t>*T1FSEOG</t>
  </si>
  <si>
    <t>*T1Teach</t>
  </si>
  <si>
    <t>*Undisb checkbox</t>
  </si>
  <si>
    <t>*Sub1T</t>
  </si>
  <si>
    <t>*Unsub1T</t>
  </si>
  <si>
    <t>*Perk1T</t>
  </si>
  <si>
    <t>*Grad1T</t>
  </si>
  <si>
    <t>*Parent1T</t>
  </si>
  <si>
    <t>1st Disb</t>
  </si>
  <si>
    <t>2nd Disb</t>
  </si>
  <si>
    <t>Return Late Disbursement Offer</t>
  </si>
  <si>
    <t>Post Late Disbursement Offer</t>
  </si>
  <si>
    <t>Total Late Disb</t>
  </si>
  <si>
    <t>*LateDisb</t>
  </si>
  <si>
    <t>*lateDisb</t>
  </si>
  <si>
    <t>DL3 Funds Certified after LDA</t>
  </si>
  <si>
    <t>DL3 funds Originated Prior LDA</t>
  </si>
  <si>
    <t>Deceased</t>
  </si>
  <si>
    <t>*This pulls total from FTCHBD</t>
  </si>
  <si>
    <t>*Currently no notes</t>
  </si>
  <si>
    <t>*Total DL3</t>
  </si>
  <si>
    <t>*Formatted DL3</t>
  </si>
  <si>
    <t>DLST3</t>
  </si>
  <si>
    <t>DLUT3</t>
  </si>
  <si>
    <t>Withdrawal Change</t>
  </si>
  <si>
    <t>2nd Withdrawal</t>
  </si>
  <si>
    <t>Military Withdrawal</t>
  </si>
  <si>
    <t>*Sub Disb/Canc total</t>
  </si>
  <si>
    <t>*Unsub Disb/Canc total</t>
  </si>
  <si>
    <t>Originated after LDA</t>
  </si>
  <si>
    <t>MPN Not Completed/Expired</t>
  </si>
  <si>
    <t>*This gets Return amnts for misc notes</t>
  </si>
  <si>
    <t>Formatted Retrun for Misc Notes</t>
  </si>
  <si>
    <t>*T1</t>
  </si>
  <si>
    <t>*T2</t>
  </si>
  <si>
    <t>Corrected REF-CXL Letter</t>
  </si>
  <si>
    <t>Entrance Loan Counseling Not Completed</t>
  </si>
  <si>
    <t>PWD - Cancel/Return Offer</t>
  </si>
  <si>
    <t>PWD - Post Offer</t>
  </si>
  <si>
    <t>PWD - Post Offer (Already Disbursed)</t>
  </si>
  <si>
    <t>DL3 T2 ADDLOAN NOT SATISFIED (FTCHBD)</t>
  </si>
  <si>
    <t xml:space="preserve">Queue: </t>
  </si>
  <si>
    <t xml:space="preserve">Case Descript: </t>
  </si>
  <si>
    <t>21CENT (Indiana 21st Century Scholarship)</t>
  </si>
  <si>
    <t>State Grants and Scholarships</t>
  </si>
  <si>
    <t>AZLEAP (Arizona Leap)</t>
  </si>
  <si>
    <t>Return</t>
  </si>
  <si>
    <t>COFS (Choose Ohio First Scholarship)</t>
  </si>
  <si>
    <t>IDGEAR (Idaho GEAR UP)</t>
  </si>
  <si>
    <t>IDOPAL (Idaho Opportunity Scholarship Adult Learners)</t>
  </si>
  <si>
    <t>IDOPPS (Idaho Opportunity Scholarship)</t>
  </si>
  <si>
    <t>IDPOST (Idaho Postsecondary Credit Scholarship)</t>
  </si>
  <si>
    <t>INMILT (Indiana Military Grant - CVO)</t>
  </si>
  <si>
    <t>INMINT (Indiana Minority Teachers Scholarship)</t>
  </si>
  <si>
    <t>INPART (Indiana Adult Student Grant)</t>
  </si>
  <si>
    <t>INROTC (Indiana ROTC Grant)</t>
  </si>
  <si>
    <t>KCSCHA (Kansas City Scholars Scholarship)</t>
  </si>
  <si>
    <t>MITCHD (Indiana Mitch Daniels Scholarship)</t>
  </si>
  <si>
    <t>MOFAST (Missouri Fast Track Workforce Incentive Grant)</t>
  </si>
  <si>
    <t>MOGRNT (Access Missouri Grant)</t>
  </si>
  <si>
    <t>NCTAP (North Carolina Tuition Assistance)</t>
  </si>
  <si>
    <t>NGHES (Next Generation Hoosiers Scholarship)</t>
  </si>
  <si>
    <t>NOG (Nebraska Opportunity Grant)</t>
  </si>
  <si>
    <t>NVIPTS (Nevada Incentivizing Pathways to Teaching Stipend)</t>
  </si>
  <si>
    <t>NVIPTA (Nevada Incentivizing Pathways to Teaching Tuition Assistance)</t>
  </si>
  <si>
    <t>OCOG (Ohio College Opportunity Grant)</t>
  </si>
  <si>
    <t>OH2ND (Ohio Second Chance Grant)</t>
  </si>
  <si>
    <t>OHNEAL (Ohio Nurse Education Assistance Loan Program)</t>
  </si>
  <si>
    <t>OHWOS (Ohio War Orphans Scholarship)</t>
  </si>
  <si>
    <t>ONGSP (Ohio National Guard Scholarship Program)</t>
  </si>
  <si>
    <t>SSACI (Indiana State Assistance Grant)</t>
  </si>
  <si>
    <t>TCHNV (Teach Nevada Scholarship)</t>
  </si>
  <si>
    <t>TSAA (Tennessee State Grant)</t>
  </si>
  <si>
    <t>THBELL (Utah TH Bell Scholarship)</t>
  </si>
  <si>
    <t>UTADLR (Utah Adult Leaners Grant)</t>
  </si>
  <si>
    <t>UTRS (Utah Opportunity Scholarship)</t>
  </si>
  <si>
    <t>UTSSP (Utah Success Stipend Grant)</t>
  </si>
  <si>
    <t>VSAC (Vermont Student Assistance Corp)</t>
  </si>
  <si>
    <t>WABRDG (Washington Bridge Scholarship)</t>
  </si>
  <si>
    <t>WACBS (Washington College Bound Scholarship)</t>
  </si>
  <si>
    <t>WACG (Washington College Grant)</t>
  </si>
  <si>
    <t>WAPTC (Washington Passport to College)</t>
  </si>
  <si>
    <t>WATS (Washington Teacher Shortage Conditional Grant)</t>
  </si>
  <si>
    <t>WAGG (Washington National Guard Grant)</t>
  </si>
  <si>
    <t>WSOS (Washington State Opportunity Scholarship)</t>
  </si>
  <si>
    <t>WSDT (Washington Student Teaching Grant)</t>
  </si>
  <si>
    <t>Acronym</t>
  </si>
  <si>
    <t>COBFAC (College of Business Faculty)</t>
  </si>
  <si>
    <t>DEVCAR (Dev Cares Scholarship)</t>
  </si>
  <si>
    <t>DTEACH (Demonstrating Teaching)</t>
  </si>
  <si>
    <t>EAF (Emergency Aid Fund)</t>
  </si>
  <si>
    <t>EMPGIV (Employees Give Back)</t>
  </si>
  <si>
    <t>FINLIT (Financial Literacy)</t>
  </si>
  <si>
    <t>FNO (Fellow Night Owl)</t>
  </si>
  <si>
    <t>GRADSP (Grad/SAP Incentive)</t>
  </si>
  <si>
    <t>GTF (Greater Texas Foundation)</t>
  </si>
  <si>
    <t>HANSF (Miller Bullen Hansen)</t>
  </si>
  <si>
    <t>HARDSH (Financial Support Fund)</t>
  </si>
  <si>
    <t>HSCHOL (Hansen Scholarship)</t>
  </si>
  <si>
    <t>INGRAM (John Ingram Tennessee Foundation)</t>
  </si>
  <si>
    <t>TGRANT (Tuition Grant)</t>
  </si>
  <si>
    <t>Withdrawal Policy</t>
  </si>
  <si>
    <t>EmailRep</t>
  </si>
  <si>
    <t>Withdrawal status does not reduce award</t>
  </si>
  <si>
    <t>Cancel</t>
  </si>
  <si>
    <t>AZLEAP</t>
  </si>
  <si>
    <t>COFS</t>
  </si>
  <si>
    <t>IDGEAR</t>
  </si>
  <si>
    <t>IDOPAL</t>
  </si>
  <si>
    <t>IDOPPS</t>
  </si>
  <si>
    <t>IDPOST</t>
  </si>
  <si>
    <t>INMILT</t>
  </si>
  <si>
    <t>INMINT</t>
  </si>
  <si>
    <t>INPART</t>
  </si>
  <si>
    <t>INROTC</t>
  </si>
  <si>
    <t>KCSCHA</t>
  </si>
  <si>
    <t>MITCHD</t>
  </si>
  <si>
    <t>MOFAST</t>
  </si>
  <si>
    <t>MOGRNT</t>
  </si>
  <si>
    <t>NCTAP</t>
  </si>
  <si>
    <t>NGHES</t>
  </si>
  <si>
    <t>NOG</t>
  </si>
  <si>
    <t>NVIPTS</t>
  </si>
  <si>
    <t>NVIPTA</t>
  </si>
  <si>
    <t>OCOG</t>
  </si>
  <si>
    <t>OH2ND</t>
  </si>
  <si>
    <t>OHNEAL</t>
  </si>
  <si>
    <t>OHWOS</t>
  </si>
  <si>
    <t>ONGSP</t>
  </si>
  <si>
    <t>SSACI</t>
  </si>
  <si>
    <t>TCHNV</t>
  </si>
  <si>
    <t>TSAA</t>
  </si>
  <si>
    <t>THBELL</t>
  </si>
  <si>
    <t>UTADLR</t>
  </si>
  <si>
    <t>UTRS</t>
  </si>
  <si>
    <t>UTSSP</t>
  </si>
  <si>
    <t>VSAC</t>
  </si>
  <si>
    <t>WABRDG</t>
  </si>
  <si>
    <t>WACBS</t>
  </si>
  <si>
    <t>WACG</t>
  </si>
  <si>
    <t>WAPTC</t>
  </si>
  <si>
    <t>WATS</t>
  </si>
  <si>
    <t>WAGG</t>
  </si>
  <si>
    <t>WSOS</t>
  </si>
  <si>
    <t>WSDT</t>
  </si>
  <si>
    <t>COBFAC</t>
  </si>
  <si>
    <t>DEVCAR</t>
  </si>
  <si>
    <t>DTEACH</t>
  </si>
  <si>
    <t>EAF</t>
  </si>
  <si>
    <t>EMPGIV</t>
  </si>
  <si>
    <t>FINLIT</t>
  </si>
  <si>
    <t>FNO</t>
  </si>
  <si>
    <t>GRADSP</t>
  </si>
  <si>
    <t>GTF</t>
  </si>
  <si>
    <t>HANSF</t>
  </si>
  <si>
    <t>HARDSH</t>
  </si>
  <si>
    <t>HSCHOL</t>
  </si>
  <si>
    <t>INGRAM</t>
  </si>
  <si>
    <t>TGRANT</t>
  </si>
  <si>
    <t>E-mail:</t>
  </si>
  <si>
    <t>21CENT</t>
  </si>
  <si>
    <t>*State Grants listed in multiple column for Vlookup purposes. Updating the first column of grants will update the other two columns.</t>
  </si>
  <si>
    <t>Warnings</t>
  </si>
  <si>
    <t>**IF MULTIPLE INDIANA FUNDS, REVIEW REFUND ORDER IN CASE COMMENT**</t>
  </si>
  <si>
    <t>CONTACT JESSICA BEFORE PRORATION, AS PRORATION MAY NOT BE NEEDED</t>
  </si>
  <si>
    <t>Refund order: CBS, then WAPTC, then WACG</t>
  </si>
  <si>
    <t>Returned Scholarship</t>
  </si>
  <si>
    <t>Row #</t>
  </si>
  <si>
    <t>*This finds the row the grant is on to refer back to</t>
  </si>
  <si>
    <t>Formatted for return box</t>
  </si>
  <si>
    <t>Reduce WGUKCS prior to reducing KCSCHA</t>
  </si>
  <si>
    <t>No refund if student was full-time and AAV was set</t>
  </si>
  <si>
    <t>No proration for withdrawal; this grant becomes a loan upon withdrawal</t>
  </si>
  <si>
    <t>No proration needed, eligible for full term amount or up to reduced cost of attendance. Pell and OCOG applied to tuition and fees prior to OH2ND, scholarships applied afterward</t>
  </si>
  <si>
    <t>Contact student to 1) keep the funding and forfeit all future funding, or 2) return the funding and remain eligible for it in the future</t>
  </si>
  <si>
    <t>*Links to the 1st term checkbox</t>
  </si>
  <si>
    <t>2223</t>
  </si>
  <si>
    <t>*scholarships formated for return</t>
  </si>
  <si>
    <t>*scholarships formated for cancel</t>
  </si>
  <si>
    <t>*UnsubUndisbursed1st</t>
  </si>
  <si>
    <t>*SubUndisbursed1st</t>
  </si>
  <si>
    <t>*PerkUndisbursed1st</t>
  </si>
  <si>
    <t>*GradUnsub1st</t>
  </si>
  <si>
    <t>*ParentUnsub1st</t>
  </si>
  <si>
    <t>*UnsubUndisbursed2nd</t>
  </si>
  <si>
    <t>*SubUndisbursed2nd</t>
  </si>
  <si>
    <t>*PerkUndisbursed2nd</t>
  </si>
  <si>
    <t>*GradUnsub2nd</t>
  </si>
  <si>
    <t>*ParentUnsub2nd</t>
  </si>
  <si>
    <t>Plus Origination fee:</t>
  </si>
  <si>
    <t>Prorated Tuition + Resource fee:</t>
  </si>
  <si>
    <t>Total w/o scholarship</t>
  </si>
  <si>
    <t>--Create a Case--</t>
  </si>
  <si>
    <t>*Needed to calulate gross amount of Plus loans</t>
  </si>
  <si>
    <t>*Needed to calulate gross amount of Loans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</si>
</sst>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164" formatCode="0.0%"/>
    <numFmt numFmtId="165" formatCode="&quot;$&quot;#,##0.00"/>
    <numFmt numFmtId="166" formatCode="&quot;$&quot;#,##0"/>
    <numFmt numFmtId="167" formatCode="000000000"/>
    <numFmt numFmtId="168" formatCode="0.000%"/>
    <numFmt numFmtId="169" formatCode="&quot;AZLEAP (Arizona Leap)&quot;"/>
    <numFmt numFmtId="170" formatCode="0.00000%"/>
  </numFmts>
  <fonts count="36" x14ac:knownFonts="1"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b/>
      <i/>
      <sz val="8"/>
      <color theme="1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"/>
      <color theme="0"/>
      <name val="Calibri"/>
      <family val="2"/>
      <scheme val="minor"/>
    </font>
    <font>
      <sz val="10"/>
      <color rgb="FF000000"/>
      <name val="Arial Narrow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25" fillId="0" borderId="0" applyFont="0" applyFill="0" applyBorder="0" applyAlignment="0" applyProtection="0"/>
  </cellStyleXfs>
  <cellXfs count="693">
    <xf numFmtId="0" fontId="0" fillId="0" borderId="0" xfId="0"/>
    <xf numFmtId="0" fontId="5" fillId="0" borderId="0" xfId="0" applyFont="1"/>
    <xf numFmtId="0" fontId="0" fillId="2" borderId="6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2" xfId="0" applyFill="1" applyBorder="1"/>
    <xf numFmtId="0" fontId="8" fillId="3" borderId="0" xfId="0" applyFont="1" applyFill="1" applyBorder="1"/>
    <xf numFmtId="0" fontId="4" fillId="3" borderId="0" xfId="0" applyFont="1" applyFill="1" applyBorder="1"/>
    <xf numFmtId="0" fontId="5" fillId="3" borderId="0" xfId="0" applyFont="1" applyFill="1" applyBorder="1"/>
    <xf numFmtId="0" fontId="0" fillId="0" borderId="0" xfId="0" applyFill="1"/>
    <xf numFmtId="0" fontId="0" fillId="2" borderId="10" xfId="0" applyFill="1" applyBorder="1"/>
    <xf numFmtId="0" fontId="0" fillId="2" borderId="11" xfId="0" applyFill="1" applyBorder="1" applyAlignment="1"/>
    <xf numFmtId="0" fontId="0" fillId="2" borderId="7" xfId="0" applyFill="1" applyBorder="1"/>
    <xf numFmtId="0" fontId="5" fillId="3" borderId="7" xfId="0" applyFont="1" applyFill="1" applyBorder="1"/>
    <xf numFmtId="0" fontId="5" fillId="3" borderId="8" xfId="0" applyFont="1" applyFill="1" applyBorder="1"/>
    <xf numFmtId="0" fontId="5" fillId="3" borderId="1" xfId="0" applyFont="1" applyFill="1" applyBorder="1"/>
    <xf numFmtId="0" fontId="5" fillId="3" borderId="9" xfId="0" applyFont="1" applyFill="1" applyBorder="1"/>
    <xf numFmtId="0" fontId="5" fillId="3" borderId="0" xfId="0" applyFont="1" applyFill="1" applyBorder="1" applyAlignment="1">
      <alignment horizontal="left"/>
    </xf>
    <xf numFmtId="0" fontId="5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0" borderId="0" xfId="0" applyFont="1" applyFill="1"/>
    <xf numFmtId="0" fontId="8" fillId="3" borderId="6" xfId="0" applyFont="1" applyFill="1" applyBorder="1"/>
    <xf numFmtId="0" fontId="5" fillId="3" borderId="6" xfId="0" applyFont="1" applyFill="1" applyBorder="1"/>
    <xf numFmtId="0" fontId="13" fillId="3" borderId="0" xfId="0" applyFont="1" applyFill="1" applyBorder="1"/>
    <xf numFmtId="0" fontId="14" fillId="3" borderId="0" xfId="0" applyFont="1" applyFill="1" applyBorder="1"/>
    <xf numFmtId="0" fontId="4" fillId="3" borderId="6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left"/>
    </xf>
    <xf numFmtId="0" fontId="1" fillId="3" borderId="1" xfId="0" applyNumberFormat="1" applyFont="1" applyFill="1" applyBorder="1" applyAlignment="1" applyProtection="1">
      <alignment horizontal="center"/>
    </xf>
    <xf numFmtId="0" fontId="1" fillId="3" borderId="0" xfId="0" applyNumberFormat="1" applyFon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/>
    <xf numFmtId="0" fontId="0" fillId="3" borderId="9" xfId="0" applyNumberFormat="1" applyFill="1" applyBorder="1" applyAlignment="1" applyProtection="1"/>
    <xf numFmtId="0" fontId="0" fillId="3" borderId="9" xfId="0" applyFill="1" applyBorder="1" applyProtection="1"/>
    <xf numFmtId="0" fontId="0" fillId="3" borderId="12" xfId="0" applyFill="1" applyBorder="1" applyProtection="1"/>
    <xf numFmtId="0" fontId="0" fillId="0" borderId="0" xfId="0" applyProtection="1"/>
    <xf numFmtId="0" fontId="0" fillId="3" borderId="6" xfId="0" applyFill="1" applyBorder="1" applyAlignment="1" applyProtection="1"/>
    <xf numFmtId="0" fontId="0" fillId="3" borderId="6" xfId="0" applyFill="1" applyBorder="1" applyProtection="1"/>
    <xf numFmtId="0" fontId="7" fillId="3" borderId="6" xfId="0" applyFont="1" applyFill="1" applyBorder="1" applyAlignment="1" applyProtection="1">
      <alignment horizontal="center" vertical="top"/>
    </xf>
    <xf numFmtId="0" fontId="0" fillId="3" borderId="11" xfId="0" applyFill="1" applyBorder="1" applyProtection="1"/>
    <xf numFmtId="0" fontId="0" fillId="3" borderId="0" xfId="0" applyFill="1" applyBorder="1" applyProtection="1"/>
    <xf numFmtId="0" fontId="2" fillId="3" borderId="0" xfId="0" applyFont="1" applyFill="1" applyBorder="1" applyAlignment="1" applyProtection="1"/>
    <xf numFmtId="0" fontId="0" fillId="3" borderId="4" xfId="0" applyFill="1" applyBorder="1" applyProtection="1"/>
    <xf numFmtId="0" fontId="2" fillId="0" borderId="4" xfId="0" applyFont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vertical="center"/>
    </xf>
    <xf numFmtId="0" fontId="0" fillId="3" borderId="10" xfId="0" applyFill="1" applyBorder="1" applyProtection="1"/>
    <xf numFmtId="0" fontId="0" fillId="3" borderId="1" xfId="0" applyFill="1" applyBorder="1" applyProtection="1"/>
    <xf numFmtId="0" fontId="2" fillId="3" borderId="0" xfId="0" applyFont="1" applyFill="1" applyBorder="1" applyProtection="1"/>
    <xf numFmtId="0" fontId="7" fillId="3" borderId="0" xfId="0" applyFont="1" applyFill="1" applyBorder="1" applyAlignment="1" applyProtection="1">
      <alignment vertical="top"/>
    </xf>
    <xf numFmtId="0" fontId="9" fillId="3" borderId="0" xfId="0" applyFont="1" applyFill="1" applyBorder="1" applyAlignment="1" applyProtection="1">
      <alignment vertical="top" wrapText="1"/>
    </xf>
    <xf numFmtId="0" fontId="9" fillId="3" borderId="9" xfId="0" applyFont="1" applyFill="1" applyBorder="1" applyAlignment="1" applyProtection="1">
      <alignment vertical="top" wrapText="1"/>
    </xf>
    <xf numFmtId="0" fontId="4" fillId="3" borderId="11" xfId="0" applyFont="1" applyFill="1" applyBorder="1" applyAlignment="1" applyProtection="1">
      <alignment vertical="top"/>
    </xf>
    <xf numFmtId="0" fontId="0" fillId="0" borderId="6" xfId="0" applyBorder="1" applyAlignment="1" applyProtection="1"/>
    <xf numFmtId="0" fontId="0" fillId="0" borderId="0" xfId="0" applyBorder="1" applyAlignment="1" applyProtection="1"/>
    <xf numFmtId="0" fontId="0" fillId="3" borderId="7" xfId="0" applyFill="1" applyBorder="1" applyAlignment="1" applyProtection="1"/>
    <xf numFmtId="0" fontId="0" fillId="3" borderId="8" xfId="0" applyFill="1" applyBorder="1" applyProtection="1"/>
    <xf numFmtId="0" fontId="0" fillId="3" borderId="0" xfId="0" applyFill="1" applyBorder="1" applyAlignment="1" applyProtection="1"/>
    <xf numFmtId="0" fontId="4" fillId="3" borderId="0" xfId="0" applyFont="1" applyFill="1" applyBorder="1" applyAlignment="1" applyProtection="1">
      <alignment vertical="top"/>
    </xf>
    <xf numFmtId="0" fontId="0" fillId="3" borderId="1" xfId="0" applyFill="1" applyBorder="1" applyAlignment="1" applyProtection="1"/>
    <xf numFmtId="0" fontId="0" fillId="3" borderId="10" xfId="0" applyFill="1" applyBorder="1" applyAlignment="1" applyProtection="1"/>
    <xf numFmtId="0" fontId="12" fillId="3" borderId="7" xfId="0" applyFont="1" applyFill="1" applyBorder="1" applyAlignment="1" applyProtection="1">
      <alignment horizontal="left"/>
    </xf>
    <xf numFmtId="0" fontId="12" fillId="3" borderId="1" xfId="0" applyFont="1" applyFill="1" applyBorder="1" applyAlignment="1" applyProtection="1">
      <alignment horizontal="left"/>
    </xf>
    <xf numFmtId="0" fontId="3" fillId="3" borderId="0" xfId="0" applyFont="1" applyFill="1" applyBorder="1" applyProtection="1"/>
    <xf numFmtId="0" fontId="2" fillId="3" borderId="1" xfId="0" applyFont="1" applyFill="1" applyBorder="1" applyAlignment="1" applyProtection="1"/>
    <xf numFmtId="0" fontId="8" fillId="3" borderId="0" xfId="0" applyFont="1" applyFill="1" applyBorder="1" applyProtection="1"/>
    <xf numFmtId="0" fontId="4" fillId="3" borderId="0" xfId="0" applyFont="1" applyFill="1" applyBorder="1" applyProtection="1"/>
    <xf numFmtId="0" fontId="5" fillId="3" borderId="0" xfId="0" applyFont="1" applyFill="1" applyBorder="1" applyProtection="1"/>
    <xf numFmtId="0" fontId="0" fillId="3" borderId="0" xfId="0" applyFill="1" applyBorder="1" applyAlignment="1" applyProtection="1">
      <alignment horizontal="center"/>
    </xf>
    <xf numFmtId="0" fontId="11" fillId="3" borderId="0" xfId="0" applyFont="1" applyFill="1" applyBorder="1" applyProtection="1"/>
    <xf numFmtId="0" fontId="7" fillId="3" borderId="0" xfId="0" applyFont="1" applyFill="1" applyBorder="1" applyProtection="1"/>
    <xf numFmtId="0" fontId="0" fillId="0" borderId="0" xfId="0" applyAlignment="1"/>
    <xf numFmtId="0" fontId="3" fillId="3" borderId="0" xfId="0" applyFont="1" applyFill="1" applyBorder="1" applyAlignment="1" applyProtection="1">
      <alignment horizontal="left"/>
    </xf>
    <xf numFmtId="0" fontId="10" fillId="3" borderId="0" xfId="0" applyFont="1" applyFill="1" applyBorder="1" applyAlignment="1" applyProtection="1">
      <alignment horizontal="left"/>
    </xf>
    <xf numFmtId="0" fontId="22" fillId="0" borderId="0" xfId="0" applyFont="1"/>
    <xf numFmtId="0" fontId="23" fillId="0" borderId="0" xfId="0" applyFont="1"/>
    <xf numFmtId="0" fontId="5" fillId="3" borderId="0" xfId="0" applyFont="1" applyFill="1"/>
    <xf numFmtId="0" fontId="4" fillId="0" borderId="0" xfId="0" applyFont="1"/>
    <xf numFmtId="0" fontId="0" fillId="5" borderId="7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14" fontId="0" fillId="5" borderId="0" xfId="0" applyNumberFormat="1" applyFill="1" applyBorder="1" applyProtection="1">
      <protection locked="0"/>
    </xf>
    <xf numFmtId="0" fontId="0" fillId="4" borderId="2" xfId="0" applyFill="1" applyBorder="1" applyProtection="1">
      <protection locked="0"/>
    </xf>
    <xf numFmtId="166" fontId="0" fillId="0" borderId="27" xfId="0" applyNumberFormat="1" applyBorder="1" applyAlignment="1" applyProtection="1">
      <alignment horizontal="center"/>
      <protection locked="0"/>
    </xf>
    <xf numFmtId="0" fontId="24" fillId="0" borderId="0" xfId="0" applyFont="1" applyFill="1" applyAlignment="1" applyProtection="1">
      <alignment vertical="center"/>
      <protection locked="0"/>
    </xf>
    <xf numFmtId="166" fontId="0" fillId="0" borderId="28" xfId="0" applyNumberFormat="1" applyBorder="1" applyAlignment="1" applyProtection="1">
      <alignment horizontal="center"/>
      <protection locked="0"/>
    </xf>
    <xf numFmtId="0" fontId="0" fillId="5" borderId="11" xfId="0" applyFill="1" applyBorder="1" applyProtection="1">
      <protection locked="0"/>
    </xf>
    <xf numFmtId="0" fontId="0" fillId="4" borderId="26" xfId="0" applyFill="1" applyBorder="1" applyProtection="1">
      <protection locked="0"/>
    </xf>
    <xf numFmtId="0" fontId="0" fillId="0" borderId="26" xfId="0" applyBorder="1" applyProtection="1">
      <protection locked="0"/>
    </xf>
    <xf numFmtId="0" fontId="0" fillId="5" borderId="6" xfId="0" applyFill="1" applyBorder="1" applyProtection="1"/>
    <xf numFmtId="0" fontId="0" fillId="5" borderId="8" xfId="0" applyFill="1" applyBorder="1" applyProtection="1"/>
    <xf numFmtId="0" fontId="0" fillId="5" borderId="0" xfId="0" applyFill="1" applyBorder="1" applyProtection="1"/>
    <xf numFmtId="0" fontId="0" fillId="5" borderId="9" xfId="0" applyFill="1" applyBorder="1" applyProtection="1"/>
    <xf numFmtId="0" fontId="0" fillId="5" borderId="11" xfId="0" applyFill="1" applyBorder="1" applyProtection="1"/>
    <xf numFmtId="0" fontId="0" fillId="5" borderId="12" xfId="0" applyFill="1" applyBorder="1" applyProtection="1"/>
    <xf numFmtId="0" fontId="0" fillId="5" borderId="1" xfId="0" applyFill="1" applyBorder="1" applyProtection="1"/>
    <xf numFmtId="0" fontId="0" fillId="4" borderId="2" xfId="0" applyFill="1" applyBorder="1" applyProtection="1"/>
    <xf numFmtId="0" fontId="0" fillId="6" borderId="27" xfId="0" applyFill="1" applyBorder="1" applyProtection="1"/>
    <xf numFmtId="0" fontId="0" fillId="6" borderId="28" xfId="0" applyFill="1" applyBorder="1" applyProtection="1"/>
    <xf numFmtId="0" fontId="0" fillId="5" borderId="10" xfId="0" applyFill="1" applyBorder="1" applyProtection="1"/>
    <xf numFmtId="14" fontId="0" fillId="0" borderId="0" xfId="0" applyNumberFormat="1" applyProtection="1">
      <protection locked="0"/>
    </xf>
    <xf numFmtId="0" fontId="4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27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Font="1" applyFill="1" applyProtection="1">
      <protection locked="0"/>
    </xf>
    <xf numFmtId="0" fontId="0" fillId="6" borderId="2" xfId="0" applyFill="1" applyBorder="1" applyProtection="1">
      <protection locked="0"/>
    </xf>
    <xf numFmtId="49" fontId="0" fillId="0" borderId="2" xfId="0" applyNumberFormat="1" applyBorder="1" applyAlignment="1" applyProtection="1">
      <alignment horizontal="center" vertical="center"/>
      <protection locked="0"/>
    </xf>
    <xf numFmtId="49" fontId="4" fillId="0" borderId="0" xfId="0" applyNumberFormat="1" applyFont="1" applyProtection="1">
      <protection locked="0"/>
    </xf>
    <xf numFmtId="0" fontId="0" fillId="5" borderId="0" xfId="0" applyFill="1" applyBorder="1" applyAlignment="1" applyProtection="1">
      <alignment horizontal="right"/>
    </xf>
    <xf numFmtId="0" fontId="0" fillId="5" borderId="0" xfId="0" applyFill="1" applyBorder="1" applyAlignment="1">
      <alignment horizontal="right"/>
    </xf>
    <xf numFmtId="166" fontId="0" fillId="5" borderId="0" xfId="0" applyNumberFormat="1" applyFill="1" applyBorder="1" applyAlignment="1" applyProtection="1">
      <alignment horizontal="center"/>
      <protection locked="0"/>
    </xf>
    <xf numFmtId="0" fontId="0" fillId="3" borderId="3" xfId="0" applyFill="1" applyBorder="1"/>
    <xf numFmtId="49" fontId="0" fillId="0" borderId="0" xfId="0" applyNumberFormat="1" applyProtection="1">
      <protection locked="0"/>
    </xf>
    <xf numFmtId="14" fontId="0" fillId="0" borderId="2" xfId="0" applyNumberFormat="1" applyFill="1" applyBorder="1" applyAlignment="1" applyProtection="1">
      <alignment horizontal="center" vertical="center"/>
      <protection locked="0"/>
    </xf>
    <xf numFmtId="42" fontId="0" fillId="0" borderId="0" xfId="0" applyNumberFormat="1" applyProtection="1">
      <protection locked="0"/>
    </xf>
    <xf numFmtId="0" fontId="0" fillId="0" borderId="26" xfId="0" applyFont="1" applyFill="1" applyBorder="1" applyProtection="1">
      <protection locked="0"/>
    </xf>
    <xf numFmtId="0" fontId="0" fillId="5" borderId="0" xfId="0" applyFill="1" applyBorder="1" applyAlignment="1" applyProtection="1">
      <alignment vertical="top" wrapText="1"/>
    </xf>
    <xf numFmtId="0" fontId="0" fillId="5" borderId="0" xfId="0" applyFill="1" applyBorder="1" applyAlignment="1" applyProtection="1">
      <alignment horizontal="left" vertical="top" wrapText="1"/>
    </xf>
    <xf numFmtId="0" fontId="4" fillId="5" borderId="6" xfId="0" applyFont="1" applyFill="1" applyBorder="1" applyAlignment="1" applyProtection="1">
      <alignment horizontal="center"/>
    </xf>
    <xf numFmtId="0" fontId="2" fillId="5" borderId="0" xfId="0" applyFont="1" applyFill="1" applyBorder="1" applyAlignment="1">
      <alignment horizontal="right"/>
    </xf>
    <xf numFmtId="0" fontId="2" fillId="5" borderId="0" xfId="0" applyFont="1" applyFill="1" applyBorder="1" applyAlignment="1" applyProtection="1">
      <alignment horizontal="right"/>
    </xf>
    <xf numFmtId="0" fontId="2" fillId="5" borderId="0" xfId="0" applyFont="1" applyFill="1" applyBorder="1" applyAlignment="1">
      <alignment horizontal="right" vertical="top"/>
    </xf>
    <xf numFmtId="0" fontId="2" fillId="5" borderId="0" xfId="0" applyFont="1" applyFill="1" applyBorder="1" applyProtection="1"/>
    <xf numFmtId="0" fontId="2" fillId="5" borderId="0" xfId="0" applyFont="1" applyFill="1" applyBorder="1" applyAlignment="1" applyProtection="1">
      <alignment horizontal="right" vertical="center"/>
    </xf>
    <xf numFmtId="0" fontId="2" fillId="5" borderId="0" xfId="0" applyNumberFormat="1" applyFont="1" applyFill="1" applyBorder="1" applyAlignment="1" applyProtection="1">
      <alignment horizontal="right" vertical="center"/>
    </xf>
    <xf numFmtId="0" fontId="2" fillId="5" borderId="0" xfId="0" applyFont="1" applyFill="1" applyBorder="1" applyAlignment="1" applyProtection="1">
      <alignment horizontal="right" vertical="top"/>
    </xf>
    <xf numFmtId="0" fontId="2" fillId="5" borderId="0" xfId="0" applyFont="1" applyFill="1" applyBorder="1" applyAlignment="1" applyProtection="1">
      <alignment horizontal="right" vertical="top" wrapText="1"/>
    </xf>
    <xf numFmtId="167" fontId="2" fillId="5" borderId="0" xfId="0" applyNumberFormat="1" applyFont="1" applyFill="1" applyBorder="1" applyAlignment="1" applyProtection="1">
      <alignment horizontal="right" vertical="center"/>
    </xf>
    <xf numFmtId="166" fontId="26" fillId="5" borderId="0" xfId="0" applyNumberFormat="1" applyFont="1" applyFill="1" applyBorder="1" applyAlignment="1" applyProtection="1">
      <alignment horizontal="left" vertical="top" wrapText="1"/>
      <protection locked="0"/>
    </xf>
    <xf numFmtId="0" fontId="4" fillId="5" borderId="1" xfId="0" applyFont="1" applyFill="1" applyBorder="1" applyAlignment="1" applyProtection="1">
      <alignment horizontal="left" vertical="top"/>
    </xf>
    <xf numFmtId="0" fontId="4" fillId="5" borderId="0" xfId="0" applyFont="1" applyFill="1" applyBorder="1" applyAlignment="1" applyProtection="1">
      <alignment horizontal="left" vertical="top"/>
    </xf>
    <xf numFmtId="9" fontId="0" fillId="5" borderId="0" xfId="1" applyFont="1" applyFill="1" applyBorder="1" applyAlignment="1" applyProtection="1">
      <alignment horizontal="left"/>
    </xf>
    <xf numFmtId="0" fontId="0" fillId="5" borderId="0" xfId="0" applyNumberFormat="1" applyFill="1" applyBorder="1" applyAlignment="1" applyProtection="1">
      <alignment horizontal="left" vertical="top" wrapText="1"/>
    </xf>
    <xf numFmtId="0" fontId="0" fillId="0" borderId="2" xfId="0" applyFont="1" applyFill="1" applyBorder="1" applyProtection="1">
      <protection locked="0"/>
    </xf>
    <xf numFmtId="14" fontId="0" fillId="5" borderId="6" xfId="0" applyNumberFormat="1" applyFill="1" applyBorder="1" applyProtection="1"/>
    <xf numFmtId="166" fontId="0" fillId="0" borderId="27" xfId="0" applyNumberFormat="1" applyFill="1" applyBorder="1" applyAlignment="1" applyProtection="1">
      <alignment horizontal="center"/>
      <protection locked="0"/>
    </xf>
    <xf numFmtId="0" fontId="0" fillId="5" borderId="0" xfId="0" applyFill="1" applyBorder="1"/>
    <xf numFmtId="0" fontId="0" fillId="5" borderId="0" xfId="0" applyFill="1" applyBorder="1" applyProtection="1">
      <protection locked="0"/>
    </xf>
    <xf numFmtId="0" fontId="0" fillId="5" borderId="10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5" borderId="9" xfId="0" applyFill="1" applyBorder="1" applyProtection="1">
      <protection locked="0"/>
    </xf>
    <xf numFmtId="0" fontId="0" fillId="5" borderId="0" xfId="0" applyFill="1" applyBorder="1" applyAlignment="1" applyProtection="1">
      <alignment wrapText="1"/>
      <protection locked="0"/>
    </xf>
    <xf numFmtId="0" fontId="0" fillId="0" borderId="0" xfId="0" applyFont="1" applyProtection="1">
      <protection locked="0"/>
    </xf>
    <xf numFmtId="166" fontId="0" fillId="0" borderId="0" xfId="0" applyNumberFormat="1" applyProtection="1">
      <protection locked="0"/>
    </xf>
    <xf numFmtId="0" fontId="4" fillId="0" borderId="27" xfId="0" applyFont="1" applyFill="1" applyBorder="1" applyProtection="1">
      <protection locked="0"/>
    </xf>
    <xf numFmtId="0" fontId="4" fillId="0" borderId="28" xfId="0" applyFont="1" applyFill="1" applyBorder="1" applyProtection="1">
      <protection locked="0"/>
    </xf>
    <xf numFmtId="0" fontId="0" fillId="6" borderId="29" xfId="0" applyFill="1" applyBorder="1" applyAlignment="1" applyProtection="1">
      <alignment horizontal="right"/>
      <protection locked="0"/>
    </xf>
    <xf numFmtId="0" fontId="0" fillId="0" borderId="29" xfId="0" applyBorder="1" applyProtection="1">
      <protection locked="0"/>
    </xf>
    <xf numFmtId="0" fontId="0" fillId="6" borderId="30" xfId="0" applyFill="1" applyBorder="1" applyAlignment="1" applyProtection="1">
      <alignment horizontal="right"/>
      <protection locked="0"/>
    </xf>
    <xf numFmtId="0" fontId="0" fillId="0" borderId="31" xfId="0" applyBorder="1" applyProtection="1">
      <protection locked="0"/>
    </xf>
    <xf numFmtId="0" fontId="0" fillId="0" borderId="0" xfId="0"/>
    <xf numFmtId="165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165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6" borderId="3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6" borderId="2" xfId="0" applyFont="1" applyFill="1" applyBorder="1" applyProtection="1">
      <protection locked="0"/>
    </xf>
    <xf numFmtId="165" fontId="0" fillId="0" borderId="2" xfId="0" applyNumberFormat="1" applyBorder="1" applyProtection="1">
      <protection locked="0"/>
    </xf>
    <xf numFmtId="0" fontId="0" fillId="0" borderId="0" xfId="0" applyNumberFormat="1" applyProtection="1">
      <protection locked="0"/>
    </xf>
    <xf numFmtId="166" fontId="4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0" fillId="5" borderId="0" xfId="0" applyNumberFormat="1" applyFill="1" applyBorder="1" applyAlignment="1" applyProtection="1">
      <alignment vertical="top" wrapText="1"/>
    </xf>
    <xf numFmtId="0" fontId="0" fillId="6" borderId="5" xfId="0" applyFill="1" applyBorder="1" applyProtection="1">
      <protection locked="0"/>
    </xf>
    <xf numFmtId="165" fontId="0" fillId="0" borderId="0" xfId="0" applyNumberFormat="1" applyBorder="1" applyProtection="1">
      <protection locked="0"/>
    </xf>
    <xf numFmtId="165" fontId="0" fillId="0" borderId="8" xfId="0" applyNumberFormat="1" applyBorder="1" applyProtection="1">
      <protection locked="0"/>
    </xf>
    <xf numFmtId="0" fontId="0" fillId="0" borderId="2" xfId="0" applyNumberFormat="1" applyBorder="1" applyAlignment="1" applyProtection="1">
      <alignment horizontal="center" vertical="center"/>
      <protection locked="0"/>
    </xf>
    <xf numFmtId="49" fontId="0" fillId="0" borderId="2" xfId="0" applyNumberFormat="1" applyFill="1" applyBorder="1" applyAlignment="1" applyProtection="1">
      <alignment horizontal="center" vertical="center"/>
      <protection locked="0"/>
    </xf>
    <xf numFmtId="0" fontId="28" fillId="0" borderId="0" xfId="0" applyFont="1"/>
    <xf numFmtId="0" fontId="27" fillId="0" borderId="0" xfId="0" applyFont="1" applyAlignment="1">
      <alignment vertical="center"/>
    </xf>
    <xf numFmtId="14" fontId="27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29" fillId="5" borderId="0" xfId="0" applyFont="1" applyFill="1" applyBorder="1" applyAlignment="1" applyProtection="1">
      <alignment horizontal="right"/>
    </xf>
    <xf numFmtId="0" fontId="26" fillId="5" borderId="0" xfId="0" applyFont="1" applyFill="1" applyBorder="1" applyProtection="1"/>
    <xf numFmtId="14" fontId="29" fillId="5" borderId="0" xfId="0" applyNumberFormat="1" applyFont="1" applyFill="1" applyBorder="1" applyAlignment="1" applyProtection="1">
      <alignment horizontal="right"/>
    </xf>
    <xf numFmtId="0" fontId="0" fillId="5" borderId="2" xfId="0" applyNumberFormat="1" applyFill="1" applyBorder="1" applyAlignment="1" applyProtection="1">
      <alignment horizontal="center"/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49" fontId="0" fillId="0" borderId="3" xfId="0" applyNumberFormat="1" applyFill="1" applyBorder="1" applyAlignment="1" applyProtection="1">
      <alignment horizontal="left" vertical="center"/>
      <protection locked="0"/>
    </xf>
    <xf numFmtId="167" fontId="0" fillId="0" borderId="26" xfId="0" applyNumberFormat="1" applyFill="1" applyBorder="1" applyAlignment="1" applyProtection="1">
      <alignment horizontal="left" vertical="center"/>
      <protection locked="0"/>
    </xf>
    <xf numFmtId="166" fontId="0" fillId="0" borderId="28" xfId="0" applyNumberFormat="1" applyFill="1" applyBorder="1" applyAlignment="1" applyProtection="1">
      <alignment horizontal="center"/>
      <protection locked="0"/>
    </xf>
    <xf numFmtId="166" fontId="0" fillId="0" borderId="26" xfId="0" applyNumberFormat="1" applyFill="1" applyBorder="1" applyAlignment="1" applyProtection="1">
      <alignment horizontal="center"/>
      <protection locked="0"/>
    </xf>
    <xf numFmtId="166" fontId="0" fillId="5" borderId="0" xfId="0" applyNumberFormat="1" applyFill="1" applyBorder="1" applyAlignment="1" applyProtection="1">
      <alignment horizontal="left"/>
      <protection locked="0"/>
    </xf>
    <xf numFmtId="0" fontId="0" fillId="0" borderId="0" xfId="0"/>
    <xf numFmtId="9" fontId="29" fillId="5" borderId="0" xfId="1" applyFont="1" applyFill="1" applyBorder="1" applyAlignment="1" applyProtection="1">
      <alignment horizontal="right"/>
    </xf>
    <xf numFmtId="0" fontId="30" fillId="0" borderId="0" xfId="0" applyFont="1"/>
    <xf numFmtId="1" fontId="0" fillId="0" borderId="0" xfId="0" applyNumberFormat="1" applyProtection="1">
      <protection locked="0"/>
    </xf>
    <xf numFmtId="1" fontId="0" fillId="0" borderId="0" xfId="0" applyNumberFormat="1"/>
    <xf numFmtId="0" fontId="0" fillId="4" borderId="2" xfId="0" applyFill="1" applyBorder="1" applyProtection="1">
      <protection locked="0"/>
    </xf>
    <xf numFmtId="166" fontId="0" fillId="0" borderId="27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5" borderId="0" xfId="0" applyFont="1" applyFill="1" applyBorder="1" applyAlignment="1" applyProtection="1">
      <alignment horizontal="right"/>
    </xf>
    <xf numFmtId="0" fontId="0" fillId="4" borderId="29" xfId="0" applyFill="1" applyBorder="1" applyAlignment="1" applyProtection="1">
      <alignment horizontal="right"/>
      <protection locked="0"/>
    </xf>
    <xf numFmtId="168" fontId="0" fillId="0" borderId="29" xfId="0" applyNumberFormat="1" applyBorder="1" applyProtection="1">
      <protection locked="0"/>
    </xf>
    <xf numFmtId="0" fontId="0" fillId="0" borderId="0" xfId="0"/>
    <xf numFmtId="0" fontId="4" fillId="0" borderId="0" xfId="0" applyFont="1" applyProtection="1">
      <protection locked="0"/>
    </xf>
    <xf numFmtId="0" fontId="0" fillId="4" borderId="26" xfId="0" applyFill="1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0" xfId="0"/>
    <xf numFmtId="0" fontId="4" fillId="0" borderId="0" xfId="0" applyFont="1"/>
    <xf numFmtId="2" fontId="0" fillId="0" borderId="0" xfId="0" applyNumberFormat="1"/>
    <xf numFmtId="0" fontId="0" fillId="0" borderId="0" xfId="0"/>
    <xf numFmtId="0" fontId="4" fillId="0" borderId="0" xfId="0" applyFont="1"/>
    <xf numFmtId="0" fontId="4" fillId="0" borderId="0" xfId="0" applyFont="1" applyProtection="1">
      <protection locked="0"/>
    </xf>
    <xf numFmtId="0" fontId="0" fillId="4" borderId="26" xfId="0" applyFill="1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4" fillId="0" borderId="0" xfId="0" applyFont="1" applyFill="1" applyProtection="1">
      <protection locked="0"/>
    </xf>
    <xf numFmtId="49" fontId="0" fillId="0" borderId="0" xfId="0" applyNumberFormat="1" applyProtection="1">
      <protection locked="0"/>
    </xf>
    <xf numFmtId="0" fontId="2" fillId="5" borderId="0" xfId="0" applyFont="1" applyFill="1" applyBorder="1" applyAlignment="1" applyProtection="1">
      <alignment horizontal="right" vertical="center"/>
    </xf>
    <xf numFmtId="0" fontId="0" fillId="5" borderId="0" xfId="0" applyFill="1" applyBorder="1" applyProtection="1">
      <protection locked="0"/>
    </xf>
    <xf numFmtId="0" fontId="0" fillId="6" borderId="29" xfId="0" applyFill="1" applyBorder="1" applyAlignment="1" applyProtection="1">
      <alignment horizontal="right"/>
      <protection locked="0"/>
    </xf>
    <xf numFmtId="0" fontId="0" fillId="0" borderId="29" xfId="0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2" fillId="5" borderId="6" xfId="0" applyFont="1" applyFill="1" applyBorder="1" applyAlignment="1" applyProtection="1">
      <alignment horizontal="left" vertical="center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6" xfId="0" applyFont="1" applyFill="1" applyBorder="1" applyAlignment="1" applyProtection="1">
      <alignment vertical="center"/>
    </xf>
    <xf numFmtId="166" fontId="0" fillId="6" borderId="27" xfId="0" applyNumberFormat="1" applyFill="1" applyBorder="1" applyAlignment="1" applyProtection="1">
      <alignment horizontal="center"/>
      <protection locked="0"/>
    </xf>
    <xf numFmtId="0" fontId="24" fillId="0" borderId="0" xfId="0" applyFont="1" applyFill="1" applyAlignment="1">
      <alignment vertical="center"/>
    </xf>
    <xf numFmtId="14" fontId="2" fillId="0" borderId="0" xfId="0" applyNumberFormat="1" applyFont="1" applyProtection="1">
      <protection locked="0"/>
    </xf>
    <xf numFmtId="0" fontId="2" fillId="0" borderId="0" xfId="0" applyFont="1" applyFill="1" applyAlignment="1" applyProtection="1">
      <alignment horizontal="right"/>
      <protection locked="0"/>
    </xf>
    <xf numFmtId="0" fontId="0" fillId="0" borderId="26" xfId="0" applyNumberFormat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0" fillId="5" borderId="0" xfId="0" applyFill="1" applyProtection="1">
      <protection locked="0"/>
    </xf>
    <xf numFmtId="0" fontId="2" fillId="5" borderId="0" xfId="0" applyFont="1" applyFill="1" applyAlignment="1" applyProtection="1">
      <alignment horizontal="right"/>
      <protection locked="0"/>
    </xf>
    <xf numFmtId="0" fontId="2" fillId="5" borderId="0" xfId="0" applyFont="1" applyFill="1" applyAlignment="1" applyProtection="1">
      <alignment horizontal="right"/>
    </xf>
    <xf numFmtId="0" fontId="0" fillId="5" borderId="0" xfId="0" applyFill="1" applyProtection="1"/>
    <xf numFmtId="0" fontId="31" fillId="5" borderId="0" xfId="0" applyFont="1" applyFill="1" applyAlignment="1" applyProtection="1">
      <alignment horizontal="right" vertical="center"/>
    </xf>
    <xf numFmtId="0" fontId="2" fillId="5" borderId="11" xfId="0" applyFont="1" applyFill="1" applyBorder="1" applyAlignment="1" applyProtection="1">
      <alignment horizontal="right"/>
      <protection locked="0"/>
    </xf>
    <xf numFmtId="0" fontId="0" fillId="5" borderId="1" xfId="0" applyFill="1" applyBorder="1" applyAlignment="1" applyProtection="1">
      <alignment vertical="top"/>
      <protection locked="0"/>
    </xf>
    <xf numFmtId="0" fontId="0" fillId="5" borderId="0" xfId="0" applyFill="1"/>
    <xf numFmtId="0" fontId="26" fillId="5" borderId="0" xfId="0" applyFont="1" applyFill="1" applyBorder="1" applyAlignment="1" applyProtection="1"/>
    <xf numFmtId="0" fontId="0" fillId="5" borderId="0" xfId="0" applyFill="1" applyBorder="1" applyAlignment="1" applyProtection="1">
      <alignment vertical="top"/>
    </xf>
    <xf numFmtId="166" fontId="29" fillId="5" borderId="0" xfId="0" applyNumberFormat="1" applyFont="1" applyFill="1" applyBorder="1" applyAlignment="1" applyProtection="1">
      <alignment horizontal="right"/>
      <protection locked="0"/>
    </xf>
    <xf numFmtId="166" fontId="29" fillId="5" borderId="0" xfId="0" applyNumberFormat="1" applyFont="1" applyFill="1" applyBorder="1" applyAlignment="1" applyProtection="1">
      <alignment horizontal="right"/>
    </xf>
    <xf numFmtId="166" fontId="26" fillId="5" borderId="0" xfId="0" applyNumberFormat="1" applyFont="1" applyFill="1" applyBorder="1" applyAlignment="1" applyProtection="1">
      <alignment horizontal="right" wrapText="1"/>
    </xf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32" fillId="5" borderId="8" xfId="0" applyFont="1" applyFill="1" applyBorder="1" applyAlignment="1">
      <alignment horizontal="right" wrapText="1"/>
    </xf>
    <xf numFmtId="0" fontId="32" fillId="5" borderId="8" xfId="0" applyFont="1" applyFill="1" applyBorder="1" applyAlignment="1" applyProtection="1">
      <alignment wrapText="1"/>
      <protection locked="0"/>
    </xf>
    <xf numFmtId="0" fontId="2" fillId="0" borderId="0" xfId="0" applyNumberFormat="1" applyFont="1" applyProtection="1">
      <protection locked="0"/>
    </xf>
    <xf numFmtId="14" fontId="0" fillId="7" borderId="2" xfId="0" applyNumberFormat="1" applyFill="1" applyBorder="1" applyAlignment="1" applyProtection="1">
      <alignment horizontal="center" vertical="center"/>
      <protection locked="0"/>
    </xf>
    <xf numFmtId="14" fontId="0" fillId="0" borderId="26" xfId="0" applyNumberFormat="1" applyBorder="1" applyAlignment="1" applyProtection="1">
      <alignment horizontal="center" vertical="center"/>
      <protection locked="0"/>
    </xf>
    <xf numFmtId="0" fontId="0" fillId="0" borderId="29" xfId="0" applyBorder="1"/>
    <xf numFmtId="0" fontId="0" fillId="0" borderId="2" xfId="0" applyFill="1" applyBorder="1"/>
    <xf numFmtId="0" fontId="0" fillId="0" borderId="2" xfId="0" applyFill="1" applyBorder="1" applyProtection="1">
      <protection locked="0"/>
    </xf>
    <xf numFmtId="0" fontId="4" fillId="0" borderId="2" xfId="0" applyFont="1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0" fillId="0" borderId="0" xfId="0" applyNumberFormat="1"/>
    <xf numFmtId="0" fontId="0" fillId="0" borderId="0" xfId="0" applyBorder="1"/>
    <xf numFmtId="0" fontId="2" fillId="5" borderId="0" xfId="0" applyFont="1" applyFill="1" applyBorder="1" applyAlignment="1" applyProtection="1">
      <alignment vertical="top" wrapText="1"/>
      <protection locked="0"/>
    </xf>
    <xf numFmtId="0" fontId="2" fillId="5" borderId="9" xfId="0" applyFont="1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>
      <alignment horizontal="left" wrapText="1"/>
    </xf>
    <xf numFmtId="0" fontId="0" fillId="0" borderId="0" xfId="0" applyFill="1" applyAlignment="1" applyProtection="1">
      <alignment wrapText="1"/>
      <protection locked="0"/>
    </xf>
    <xf numFmtId="166" fontId="0" fillId="5" borderId="0" xfId="0" applyNumberFormat="1" applyFill="1" applyBorder="1" applyAlignment="1" applyProtection="1"/>
    <xf numFmtId="0" fontId="32" fillId="5" borderId="9" xfId="0" applyFont="1" applyFill="1" applyBorder="1" applyAlignment="1" applyProtection="1">
      <alignment horizontal="left" wrapText="1"/>
      <protection locked="0"/>
    </xf>
    <xf numFmtId="0" fontId="0" fillId="0" borderId="0" xfId="0" applyFill="1" applyAlignment="1" applyProtection="1">
      <alignment horizontal="right" wrapText="1"/>
      <protection locked="0"/>
    </xf>
    <xf numFmtId="166" fontId="0" fillId="5" borderId="0" xfId="0" applyNumberFormat="1" applyFill="1" applyBorder="1" applyAlignment="1" applyProtection="1">
      <alignment horizontal="right" wrapText="1"/>
    </xf>
    <xf numFmtId="0" fontId="33" fillId="5" borderId="8" xfId="0" applyFont="1" applyFill="1" applyBorder="1" applyAlignment="1" applyProtection="1">
      <alignment wrapText="1"/>
      <protection locked="0"/>
    </xf>
    <xf numFmtId="0" fontId="33" fillId="5" borderId="9" xfId="0" applyFont="1" applyFill="1" applyBorder="1" applyProtection="1">
      <protection locked="0"/>
    </xf>
    <xf numFmtId="166" fontId="0" fillId="5" borderId="0" xfId="0" applyNumberFormat="1" applyFill="1"/>
    <xf numFmtId="0" fontId="0" fillId="5" borderId="10" xfId="0" applyFill="1" applyBorder="1" applyAlignment="1" applyProtection="1">
      <alignment vertical="top"/>
      <protection locked="0"/>
    </xf>
    <xf numFmtId="0" fontId="0" fillId="5" borderId="11" xfId="0" applyFill="1" applyBorder="1" applyAlignment="1" applyProtection="1">
      <alignment vertical="top"/>
      <protection locked="0"/>
    </xf>
    <xf numFmtId="0" fontId="0" fillId="5" borderId="0" xfId="0" applyFill="1" applyBorder="1" applyAlignment="1" applyProtection="1">
      <alignment horizontal="right"/>
      <protection locked="0"/>
    </xf>
    <xf numFmtId="166" fontId="0" fillId="5" borderId="0" xfId="0" applyNumberFormat="1" applyFill="1" applyBorder="1" applyProtection="1">
      <protection locked="0"/>
    </xf>
    <xf numFmtId="14" fontId="27" fillId="0" borderId="0" xfId="0" applyNumberFormat="1" applyFont="1" applyAlignment="1" applyProtection="1">
      <alignment vertical="center"/>
      <protection locked="0"/>
    </xf>
    <xf numFmtId="0" fontId="2" fillId="5" borderId="0" xfId="0" applyFont="1" applyFill="1" applyBorder="1" applyAlignment="1" applyProtection="1">
      <alignment horizontal="right"/>
      <protection locked="0"/>
    </xf>
    <xf numFmtId="166" fontId="0" fillId="0" borderId="2" xfId="0" applyNumberFormat="1" applyBorder="1" applyProtection="1">
      <protection locked="0"/>
    </xf>
    <xf numFmtId="166" fontId="0" fillId="6" borderId="2" xfId="0" applyNumberFormat="1" applyFill="1" applyBorder="1" applyProtection="1">
      <protection locked="0"/>
    </xf>
    <xf numFmtId="0" fontId="2" fillId="5" borderId="9" xfId="0" applyFont="1" applyFill="1" applyBorder="1" applyAlignment="1" applyProtection="1">
      <alignment horizontal="left" vertical="top" wrapText="1"/>
      <protection locked="0"/>
    </xf>
    <xf numFmtId="0" fontId="2" fillId="5" borderId="0" xfId="0" applyFont="1" applyFill="1" applyBorder="1" applyAlignment="1" applyProtection="1">
      <alignment vertical="top"/>
      <protection locked="0"/>
    </xf>
    <xf numFmtId="0" fontId="2" fillId="5" borderId="9" xfId="0" applyFont="1" applyFill="1" applyBorder="1" applyAlignment="1" applyProtection="1">
      <alignment vertical="top"/>
      <protection locked="0"/>
    </xf>
    <xf numFmtId="0" fontId="0" fillId="5" borderId="0" xfId="0" applyFont="1" applyFill="1" applyBorder="1" applyAlignment="1" applyProtection="1">
      <alignment vertical="top"/>
      <protection locked="0"/>
    </xf>
    <xf numFmtId="0" fontId="0" fillId="5" borderId="6" xfId="0" applyNumberFormat="1" applyFill="1" applyBorder="1" applyAlignment="1" applyProtection="1">
      <alignment horizontal="center" vertical="center"/>
      <protection locked="0"/>
    </xf>
    <xf numFmtId="166" fontId="0" fillId="0" borderId="0" xfId="0" applyNumberFormat="1" applyFont="1" applyProtection="1">
      <protection locked="0"/>
    </xf>
    <xf numFmtId="0" fontId="0" fillId="0" borderId="32" xfId="0" applyBorder="1"/>
    <xf numFmtId="0" fontId="0" fillId="0" borderId="33" xfId="0" applyBorder="1" applyProtection="1">
      <protection locked="0"/>
    </xf>
    <xf numFmtId="164" fontId="0" fillId="0" borderId="28" xfId="0" applyNumberForma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>
      <alignment horizontal="fill"/>
    </xf>
    <xf numFmtId="0" fontId="0" fillId="0" borderId="35" xfId="0" applyBorder="1" applyProtection="1">
      <protection locked="0"/>
    </xf>
    <xf numFmtId="0" fontId="26" fillId="5" borderId="0" xfId="0" applyFont="1" applyFill="1" applyBorder="1" applyAlignment="1" applyProtection="1">
      <alignment horizontal="left"/>
      <protection locked="0"/>
    </xf>
    <xf numFmtId="166" fontId="0" fillId="5" borderId="0" xfId="0" applyNumberFormat="1" applyFont="1" applyFill="1" applyBorder="1" applyAlignment="1" applyProtection="1">
      <alignment horizontal="right"/>
      <protection locked="0"/>
    </xf>
    <xf numFmtId="166" fontId="33" fillId="5" borderId="0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33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6" borderId="26" xfId="0" applyFill="1" applyBorder="1" applyProtection="1">
      <protection locked="0"/>
    </xf>
    <xf numFmtId="0" fontId="0" fillId="0" borderId="27" xfId="0" applyFont="1" applyFill="1" applyBorder="1" applyProtection="1">
      <protection locked="0"/>
    </xf>
    <xf numFmtId="0" fontId="0" fillId="0" borderId="26" xfId="0" applyFill="1" applyBorder="1" applyProtection="1">
      <protection locked="0"/>
    </xf>
    <xf numFmtId="0" fontId="4" fillId="0" borderId="28" xfId="0" applyFont="1" applyBorder="1" applyProtection="1">
      <protection locked="0"/>
    </xf>
    <xf numFmtId="0" fontId="33" fillId="0" borderId="0" xfId="0" applyFont="1" applyFill="1" applyProtection="1">
      <protection locked="0"/>
    </xf>
    <xf numFmtId="0" fontId="0" fillId="0" borderId="32" xfId="0" applyBorder="1" applyProtection="1">
      <protection locked="0"/>
    </xf>
    <xf numFmtId="0" fontId="29" fillId="5" borderId="0" xfId="0" applyFont="1" applyFill="1" applyBorder="1" applyAlignment="1" applyProtection="1">
      <alignment horizontal="right"/>
      <protection locked="0"/>
    </xf>
    <xf numFmtId="0" fontId="0" fillId="0" borderId="32" xfId="0" applyFont="1" applyBorder="1" applyProtection="1">
      <protection locked="0"/>
    </xf>
    <xf numFmtId="0" fontId="0" fillId="0" borderId="34" xfId="0" applyBorder="1" applyProtection="1">
      <protection locked="0"/>
    </xf>
    <xf numFmtId="0" fontId="0" fillId="0" borderId="37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0" fontId="2" fillId="5" borderId="0" xfId="0" applyFont="1" applyFill="1" applyAlignment="1" applyProtection="1">
      <alignment horizontal="right" vertical="center"/>
    </xf>
    <xf numFmtId="0" fontId="2" fillId="5" borderId="11" xfId="0" applyFont="1" applyFill="1" applyBorder="1" applyAlignment="1" applyProtection="1">
      <alignment horizontal="right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2" fillId="5" borderId="0" xfId="0" applyFont="1" applyFill="1" applyBorder="1" applyProtection="1">
      <protection locked="0"/>
    </xf>
    <xf numFmtId="0" fontId="2" fillId="4" borderId="26" xfId="0" applyFont="1" applyFill="1" applyBorder="1" applyAlignment="1" applyProtection="1">
      <alignment wrapText="1"/>
      <protection locked="0"/>
    </xf>
    <xf numFmtId="0" fontId="2" fillId="4" borderId="26" xfId="0" applyFont="1" applyFill="1" applyBorder="1" applyAlignment="1">
      <alignment wrapText="1"/>
    </xf>
    <xf numFmtId="0" fontId="2" fillId="4" borderId="2" xfId="0" applyFont="1" applyFill="1" applyBorder="1" applyAlignment="1" applyProtection="1">
      <alignment vertical="center"/>
    </xf>
    <xf numFmtId="165" fontId="2" fillId="4" borderId="2" xfId="0" applyNumberFormat="1" applyFont="1" applyFill="1" applyBorder="1" applyAlignment="1" applyProtection="1">
      <alignment wrapText="1"/>
      <protection locked="0"/>
    </xf>
    <xf numFmtId="169" fontId="0" fillId="0" borderId="29" xfId="0" applyNumberFormat="1" applyBorder="1"/>
    <xf numFmtId="0" fontId="33" fillId="0" borderId="29" xfId="0" applyFont="1" applyBorder="1"/>
    <xf numFmtId="0" fontId="2" fillId="5" borderId="0" xfId="0" applyFont="1" applyFill="1" applyBorder="1" applyAlignment="1" applyProtection="1">
      <protection locked="0"/>
    </xf>
    <xf numFmtId="166" fontId="0" fillId="0" borderId="2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Border="1" applyProtection="1">
      <protection locked="0"/>
    </xf>
    <xf numFmtId="0" fontId="26" fillId="5" borderId="0" xfId="0" applyFont="1" applyFill="1" applyBorder="1" applyProtection="1">
      <protection locked="0"/>
    </xf>
    <xf numFmtId="166" fontId="0" fillId="0" borderId="2" xfId="0" applyNumberFormat="1" applyFill="1" applyBorder="1" applyAlignment="1" applyProtection="1">
      <alignment horizontal="center"/>
      <protection locked="0"/>
    </xf>
    <xf numFmtId="0" fontId="24" fillId="0" borderId="0" xfId="0" applyFont="1" applyAlignment="1" applyProtection="1">
      <alignment vertical="center"/>
      <protection locked="0"/>
    </xf>
    <xf numFmtId="166" fontId="0" fillId="0" borderId="0" xfId="0" applyNumberFormat="1"/>
    <xf numFmtId="166" fontId="26" fillId="5" borderId="0" xfId="0" applyNumberFormat="1" applyFont="1" applyFill="1" applyBorder="1" applyAlignment="1" applyProtection="1">
      <alignment horizontal="left"/>
      <protection locked="0"/>
    </xf>
    <xf numFmtId="166" fontId="0" fillId="0" borderId="0" xfId="0" applyNumberFormat="1" applyBorder="1" applyProtection="1">
      <protection locked="0"/>
    </xf>
    <xf numFmtId="14" fontId="0" fillId="5" borderId="0" xfId="0" applyNumberFormat="1" applyFont="1" applyFill="1" applyBorder="1" applyAlignment="1" applyProtection="1">
      <alignment horizontal="right"/>
      <protection locked="0"/>
    </xf>
    <xf numFmtId="0" fontId="0" fillId="0" borderId="8" xfId="0" applyBorder="1" applyProtection="1">
      <protection locked="0"/>
    </xf>
    <xf numFmtId="49" fontId="2" fillId="5" borderId="0" xfId="0" applyNumberFormat="1" applyFont="1" applyFill="1" applyBorder="1" applyAlignment="1" applyProtection="1">
      <alignment horizontal="center"/>
      <protection locked="0"/>
    </xf>
    <xf numFmtId="166" fontId="0" fillId="5" borderId="0" xfId="0" applyNumberFormat="1" applyFill="1" applyBorder="1" applyAlignment="1" applyProtection="1">
      <alignment vertical="center"/>
      <protection locked="0"/>
    </xf>
    <xf numFmtId="0" fontId="0" fillId="0" borderId="0" xfId="0"/>
    <xf numFmtId="0" fontId="0" fillId="0" borderId="0" xfId="0" applyNumberFormat="1" applyFill="1" applyBorder="1" applyProtection="1">
      <protection locked="0"/>
    </xf>
    <xf numFmtId="166" fontId="0" fillId="0" borderId="9" xfId="0" applyNumberFormat="1" applyFill="1" applyBorder="1" applyProtection="1">
      <protection locked="0"/>
    </xf>
    <xf numFmtId="166" fontId="0" fillId="0" borderId="12" xfId="0" applyNumberFormat="1" applyFill="1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166" fontId="0" fillId="0" borderId="28" xfId="0" applyNumberFormat="1" applyFill="1" applyBorder="1" applyProtection="1">
      <protection locked="0"/>
    </xf>
    <xf numFmtId="0" fontId="0" fillId="6" borderId="28" xfId="0" applyFill="1" applyBorder="1" applyProtection="1">
      <protection locked="0"/>
    </xf>
    <xf numFmtId="14" fontId="4" fillId="0" borderId="0" xfId="0" applyNumberFormat="1" applyFont="1" applyProtection="1">
      <protection locked="0"/>
    </xf>
    <xf numFmtId="0" fontId="0" fillId="6" borderId="10" xfId="0" applyFill="1" applyBorder="1" applyProtection="1">
      <protection locked="0"/>
    </xf>
    <xf numFmtId="0" fontId="4" fillId="0" borderId="26" xfId="0" applyFont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6" borderId="27" xfId="0" applyFill="1" applyBorder="1" applyProtection="1">
      <protection locked="0"/>
    </xf>
    <xf numFmtId="166" fontId="0" fillId="0" borderId="9" xfId="0" applyNumberFormat="1" applyFill="1" applyBorder="1" applyAlignment="1" applyProtection="1">
      <alignment horizontal="center"/>
      <protection locked="0"/>
    </xf>
    <xf numFmtId="166" fontId="0" fillId="0" borderId="12" xfId="0" applyNumberFormat="1" applyFill="1" applyBorder="1" applyAlignment="1" applyProtection="1">
      <alignment horizontal="center"/>
      <protection locked="0"/>
    </xf>
    <xf numFmtId="0" fontId="0" fillId="4" borderId="29" xfId="0" applyFill="1" applyBorder="1" applyProtection="1">
      <protection locked="0"/>
    </xf>
    <xf numFmtId="0" fontId="26" fillId="5" borderId="0" xfId="0" applyFont="1" applyFill="1" applyBorder="1" applyAlignment="1" applyProtection="1">
      <alignment vertical="center"/>
      <protection locked="0"/>
    </xf>
    <xf numFmtId="0" fontId="29" fillId="5" borderId="6" xfId="0" applyFont="1" applyFill="1" applyBorder="1" applyAlignment="1" applyProtection="1">
      <alignment horizontal="left"/>
    </xf>
    <xf numFmtId="49" fontId="0" fillId="0" borderId="0" xfId="0" applyNumberFormat="1" applyAlignment="1" applyProtection="1">
      <alignment horizontal="right"/>
      <protection locked="0"/>
    </xf>
    <xf numFmtId="49" fontId="0" fillId="0" borderId="29" xfId="0" applyNumberFormat="1" applyFont="1" applyFill="1" applyBorder="1" applyProtection="1">
      <protection locked="0"/>
    </xf>
    <xf numFmtId="49" fontId="0" fillId="0" borderId="29" xfId="0" applyNumberFormat="1" applyBorder="1" applyProtection="1">
      <protection locked="0"/>
    </xf>
    <xf numFmtId="0" fontId="0" fillId="6" borderId="1" xfId="0" applyFill="1" applyBorder="1" applyProtection="1"/>
    <xf numFmtId="0" fontId="0" fillId="4" borderId="7" xfId="0" applyFill="1" applyBorder="1" applyProtection="1">
      <protection locked="0"/>
    </xf>
    <xf numFmtId="166" fontId="0" fillId="0" borderId="7" xfId="0" applyNumberForma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0" fillId="0" borderId="1" xfId="0" applyNumberFormat="1" applyFont="1" applyFill="1" applyBorder="1" applyAlignment="1" applyProtection="1">
      <alignment horizontal="center"/>
      <protection locked="0"/>
    </xf>
    <xf numFmtId="166" fontId="0" fillId="0" borderId="10" xfId="0" applyNumberFormat="1" applyFont="1" applyFill="1" applyBorder="1" applyAlignment="1" applyProtection="1">
      <alignment horizontal="center"/>
      <protection locked="0"/>
    </xf>
    <xf numFmtId="166" fontId="0" fillId="5" borderId="1" xfId="0" applyNumberFormat="1" applyFill="1" applyBorder="1" applyProtection="1">
      <protection locked="0"/>
    </xf>
    <xf numFmtId="14" fontId="0" fillId="5" borderId="1" xfId="0" applyNumberFormat="1" applyFill="1" applyBorder="1" applyAlignment="1" applyProtection="1">
      <alignment horizontal="center" vertical="center"/>
      <protection locked="0"/>
    </xf>
    <xf numFmtId="168" fontId="0" fillId="0" borderId="0" xfId="0" applyNumberFormat="1"/>
    <xf numFmtId="170" fontId="0" fillId="0" borderId="0" xfId="0" applyNumberFormat="1" applyProtection="1">
      <protection locked="0"/>
    </xf>
    <xf numFmtId="166" fontId="0" fillId="5" borderId="0" xfId="0" applyNumberFormat="1" applyFill="1" applyBorder="1" applyAlignment="1" applyProtection="1">
      <alignment horizontal="center"/>
      <protection locked="0"/>
    </xf>
    <xf numFmtId="0" fontId="0" fillId="5" borderId="0" xfId="0" applyFill="1" applyAlignment="1" applyProtection="1">
      <alignment horizontal="left" vertical="top" wrapText="1"/>
    </xf>
    <xf numFmtId="0" fontId="0" fillId="7" borderId="7" xfId="0" applyFill="1" applyBorder="1" applyAlignment="1" applyProtection="1">
      <alignment horizontal="center" vertical="top"/>
      <protection locked="0"/>
    </xf>
    <xf numFmtId="0" fontId="0" fillId="7" borderId="6" xfId="0" applyFill="1" applyBorder="1" applyAlignment="1" applyProtection="1">
      <alignment horizontal="center" vertical="top"/>
      <protection locked="0"/>
    </xf>
    <xf numFmtId="0" fontId="0" fillId="7" borderId="8" xfId="0" applyFill="1" applyBorder="1" applyAlignment="1" applyProtection="1">
      <alignment horizontal="center" vertical="top"/>
      <protection locked="0"/>
    </xf>
    <xf numFmtId="0" fontId="0" fillId="7" borderId="1" xfId="0" applyFill="1" applyBorder="1" applyAlignment="1" applyProtection="1">
      <alignment horizontal="center" vertical="top"/>
      <protection locked="0"/>
    </xf>
    <xf numFmtId="0" fontId="0" fillId="7" borderId="0" xfId="0" applyFill="1" applyBorder="1" applyAlignment="1" applyProtection="1">
      <alignment horizontal="center" vertical="top"/>
      <protection locked="0"/>
    </xf>
    <xf numFmtId="0" fontId="0" fillId="7" borderId="9" xfId="0" applyFill="1" applyBorder="1" applyAlignment="1" applyProtection="1">
      <alignment horizontal="center" vertical="top"/>
      <protection locked="0"/>
    </xf>
    <xf numFmtId="0" fontId="0" fillId="7" borderId="10" xfId="0" applyFill="1" applyBorder="1" applyAlignment="1" applyProtection="1">
      <alignment horizontal="center" vertical="top"/>
      <protection locked="0"/>
    </xf>
    <xf numFmtId="0" fontId="0" fillId="7" borderId="11" xfId="0" applyFill="1" applyBorder="1" applyAlignment="1" applyProtection="1">
      <alignment horizontal="center" vertical="top"/>
      <protection locked="0"/>
    </xf>
    <xf numFmtId="0" fontId="0" fillId="7" borderId="12" xfId="0" applyFill="1" applyBorder="1" applyAlignment="1" applyProtection="1">
      <alignment horizontal="center" vertical="top"/>
      <protection locked="0"/>
    </xf>
    <xf numFmtId="0" fontId="24" fillId="0" borderId="7" xfId="0" applyFont="1" applyFill="1" applyBorder="1" applyAlignment="1" applyProtection="1">
      <alignment horizontal="center" vertical="top" wrapText="1"/>
    </xf>
    <xf numFmtId="0" fontId="24" fillId="0" borderId="6" xfId="0" applyFont="1" applyFill="1" applyBorder="1" applyAlignment="1" applyProtection="1">
      <alignment horizontal="center" vertical="top" wrapText="1"/>
    </xf>
    <xf numFmtId="0" fontId="24" fillId="0" borderId="8" xfId="0" applyFont="1" applyFill="1" applyBorder="1" applyAlignment="1" applyProtection="1">
      <alignment horizontal="center" vertical="top" wrapText="1"/>
    </xf>
    <xf numFmtId="0" fontId="24" fillId="0" borderId="1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 applyProtection="1">
      <alignment horizontal="center" vertical="top" wrapText="1"/>
    </xf>
    <xf numFmtId="0" fontId="24" fillId="0" borderId="9" xfId="0" applyFont="1" applyFill="1" applyBorder="1" applyAlignment="1" applyProtection="1">
      <alignment horizontal="center" vertical="top" wrapText="1"/>
    </xf>
    <xf numFmtId="0" fontId="24" fillId="0" borderId="10" xfId="0" applyFont="1" applyFill="1" applyBorder="1" applyAlignment="1" applyProtection="1">
      <alignment horizontal="center" vertical="top" wrapText="1"/>
    </xf>
    <xf numFmtId="0" fontId="24" fillId="0" borderId="11" xfId="0" applyFont="1" applyFill="1" applyBorder="1" applyAlignment="1" applyProtection="1">
      <alignment horizontal="center" vertical="top" wrapText="1"/>
    </xf>
    <xf numFmtId="0" fontId="24" fillId="0" borderId="12" xfId="0" applyFont="1" applyFill="1" applyBorder="1" applyAlignment="1" applyProtection="1">
      <alignment horizontal="center" vertical="top" wrapText="1"/>
    </xf>
    <xf numFmtId="166" fontId="0" fillId="7" borderId="2" xfId="0" applyNumberForma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4" borderId="2" xfId="0" applyFont="1" applyFill="1" applyBorder="1" applyAlignment="1" applyProtection="1">
      <alignment horizontal="center"/>
    </xf>
    <xf numFmtId="166" fontId="0" fillId="7" borderId="2" xfId="0" applyNumberFormat="1" applyFill="1" applyBorder="1" applyAlignment="1" applyProtection="1">
      <alignment horizontal="center"/>
    </xf>
    <xf numFmtId="0" fontId="0" fillId="7" borderId="2" xfId="0" applyFill="1" applyBorder="1" applyAlignment="1" applyProtection="1">
      <alignment horizontal="center"/>
    </xf>
    <xf numFmtId="0" fontId="0" fillId="0" borderId="7" xfId="0" applyBorder="1" applyAlignment="1" applyProtection="1">
      <alignment horizontal="center" vertical="top"/>
      <protection locked="0"/>
    </xf>
    <xf numFmtId="0" fontId="0" fillId="0" borderId="6" xfId="0" applyBorder="1" applyAlignment="1" applyProtection="1">
      <alignment horizontal="center" vertical="top"/>
      <protection locked="0"/>
    </xf>
    <xf numFmtId="0" fontId="0" fillId="0" borderId="8" xfId="0" applyBorder="1" applyAlignment="1" applyProtection="1">
      <alignment horizontal="center" vertical="top"/>
      <protection locked="0"/>
    </xf>
    <xf numFmtId="0" fontId="0" fillId="0" borderId="1" xfId="0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horizontal="center" vertical="top"/>
      <protection locked="0"/>
    </xf>
    <xf numFmtId="0" fontId="0" fillId="0" borderId="9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horizontal="center" vertical="top"/>
      <protection locked="0"/>
    </xf>
    <xf numFmtId="0" fontId="0" fillId="0" borderId="11" xfId="0" applyBorder="1" applyAlignment="1" applyProtection="1">
      <alignment horizontal="center" vertical="top"/>
      <protection locked="0"/>
    </xf>
    <xf numFmtId="0" fontId="0" fillId="0" borderId="12" xfId="0" applyBorder="1" applyAlignment="1" applyProtection="1">
      <alignment horizontal="center" vertical="top"/>
      <protection locked="0"/>
    </xf>
    <xf numFmtId="166" fontId="0" fillId="0" borderId="2" xfId="0" applyNumberForma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2" fillId="5" borderId="0" xfId="0" applyFont="1" applyFill="1" applyBorder="1" applyAlignment="1" applyProtection="1">
      <alignment horizontal="left" vertical="top" wrapText="1"/>
      <protection locked="0"/>
    </xf>
    <xf numFmtId="0" fontId="2" fillId="5" borderId="11" xfId="0" applyFont="1" applyFill="1" applyBorder="1" applyAlignment="1" applyProtection="1">
      <alignment horizontal="left" vertical="top" wrapText="1"/>
      <protection locked="0"/>
    </xf>
    <xf numFmtId="0" fontId="2" fillId="5" borderId="0" xfId="0" applyFont="1" applyFill="1" applyBorder="1" applyAlignment="1" applyProtection="1">
      <alignment horizontal="center"/>
      <protection locked="0"/>
    </xf>
    <xf numFmtId="166" fontId="0" fillId="5" borderId="0" xfId="0" applyNumberFormat="1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9" xfId="0" applyBorder="1" applyAlignment="1" applyProtection="1">
      <alignment horizontal="left" vertical="top"/>
      <protection locked="0"/>
    </xf>
    <xf numFmtId="0" fontId="0" fillId="0" borderId="10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6" fontId="0" fillId="0" borderId="3" xfId="0" applyNumberFormat="1" applyBorder="1" applyAlignment="1" applyProtection="1">
      <alignment horizontal="center"/>
    </xf>
    <xf numFmtId="166" fontId="0" fillId="0" borderId="5" xfId="0" applyNumberFormat="1" applyBorder="1" applyAlignment="1" applyProtection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0" fillId="5" borderId="11" xfId="0" applyFont="1" applyFill="1" applyBorder="1" applyAlignment="1" applyProtection="1">
      <alignment horizontal="right" wrapText="1"/>
      <protection locked="0"/>
    </xf>
    <xf numFmtId="0" fontId="0" fillId="5" borderId="12" xfId="0" applyFont="1" applyFill="1" applyBorder="1" applyAlignment="1" applyProtection="1">
      <alignment horizontal="right" wrapText="1"/>
      <protection locked="0"/>
    </xf>
    <xf numFmtId="0" fontId="0" fillId="0" borderId="32" xfId="0" applyBorder="1" applyAlignment="1" applyProtection="1">
      <alignment horizontal="left" wrapText="1"/>
      <protection locked="0"/>
    </xf>
    <xf numFmtId="0" fontId="0" fillId="0" borderId="33" xfId="0" applyBorder="1" applyAlignment="1" applyProtection="1">
      <alignment horizontal="left" wrapText="1"/>
      <protection locked="0"/>
    </xf>
    <xf numFmtId="0" fontId="0" fillId="0" borderId="34" xfId="0" applyBorder="1" applyAlignment="1" applyProtection="1">
      <alignment horizontal="left" wrapText="1"/>
      <protection locked="0"/>
    </xf>
    <xf numFmtId="0" fontId="24" fillId="0" borderId="7" xfId="0" applyNumberFormat="1" applyFont="1" applyFill="1" applyBorder="1" applyAlignment="1" applyProtection="1">
      <alignment horizontal="center" vertical="top" wrapText="1"/>
    </xf>
    <xf numFmtId="0" fontId="24" fillId="0" borderId="6" xfId="0" applyNumberFormat="1" applyFont="1" applyFill="1" applyBorder="1" applyAlignment="1" applyProtection="1">
      <alignment horizontal="center" vertical="top" wrapText="1"/>
    </xf>
    <xf numFmtId="0" fontId="24" fillId="0" borderId="8" xfId="0" applyNumberFormat="1" applyFont="1" applyFill="1" applyBorder="1" applyAlignment="1" applyProtection="1">
      <alignment horizontal="center" vertical="top" wrapText="1"/>
    </xf>
    <xf numFmtId="0" fontId="24" fillId="0" borderId="1" xfId="0" applyNumberFormat="1" applyFont="1" applyFill="1" applyBorder="1" applyAlignment="1" applyProtection="1">
      <alignment horizontal="center" vertical="top" wrapText="1"/>
    </xf>
    <xf numFmtId="0" fontId="24" fillId="0" borderId="0" xfId="0" applyNumberFormat="1" applyFont="1" applyFill="1" applyBorder="1" applyAlignment="1" applyProtection="1">
      <alignment horizontal="center" vertical="top" wrapText="1"/>
    </xf>
    <xf numFmtId="0" fontId="24" fillId="0" borderId="9" xfId="0" applyNumberFormat="1" applyFont="1" applyFill="1" applyBorder="1" applyAlignment="1" applyProtection="1">
      <alignment horizontal="center" vertical="top" wrapText="1"/>
    </xf>
    <xf numFmtId="0" fontId="24" fillId="0" borderId="10" xfId="0" applyNumberFormat="1" applyFont="1" applyFill="1" applyBorder="1" applyAlignment="1" applyProtection="1">
      <alignment horizontal="center" vertical="top" wrapText="1"/>
    </xf>
    <xf numFmtId="0" fontId="24" fillId="0" borderId="11" xfId="0" applyNumberFormat="1" applyFont="1" applyFill="1" applyBorder="1" applyAlignment="1" applyProtection="1">
      <alignment horizontal="center" vertical="top" wrapText="1"/>
    </xf>
    <xf numFmtId="0" fontId="24" fillId="0" borderId="12" xfId="0" applyNumberFormat="1" applyFont="1" applyFill="1" applyBorder="1" applyAlignment="1" applyProtection="1">
      <alignment horizontal="center" vertical="top" wrapText="1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3" fontId="0" fillId="0" borderId="7" xfId="0" applyNumberFormat="1" applyFill="1" applyBorder="1" applyAlignment="1" applyProtection="1">
      <alignment horizontal="left" vertical="top"/>
      <protection locked="0"/>
    </xf>
    <xf numFmtId="0" fontId="0" fillId="0" borderId="6" xfId="0" applyFill="1" applyBorder="1" applyAlignment="1" applyProtection="1">
      <alignment horizontal="left" vertical="top"/>
      <protection locked="0"/>
    </xf>
    <xf numFmtId="0" fontId="0" fillId="0" borderId="8" xfId="0" applyFill="1" applyBorder="1" applyAlignment="1" applyProtection="1">
      <alignment horizontal="left" vertical="top"/>
      <protection locked="0"/>
    </xf>
    <xf numFmtId="0" fontId="0" fillId="0" borderId="1" xfId="0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0" fillId="0" borderId="9" xfId="0" applyFill="1" applyBorder="1" applyAlignment="1" applyProtection="1">
      <alignment horizontal="left" vertical="top"/>
      <protection locked="0"/>
    </xf>
    <xf numFmtId="0" fontId="0" fillId="0" borderId="10" xfId="0" applyFill="1" applyBorder="1" applyAlignment="1" applyProtection="1">
      <alignment horizontal="left" vertical="top"/>
      <protection locked="0"/>
    </xf>
    <xf numFmtId="0" fontId="0" fillId="0" borderId="11" xfId="0" applyFill="1" applyBorder="1" applyAlignment="1" applyProtection="1">
      <alignment horizontal="left" vertical="top"/>
      <protection locked="0"/>
    </xf>
    <xf numFmtId="0" fontId="0" fillId="0" borderId="12" xfId="0" applyFill="1" applyBorder="1" applyAlignment="1" applyProtection="1">
      <alignment horizontal="left" vertical="top"/>
      <protection locked="0"/>
    </xf>
    <xf numFmtId="49" fontId="2" fillId="4" borderId="3" xfId="0" applyNumberFormat="1" applyFont="1" applyFill="1" applyBorder="1" applyAlignment="1" applyProtection="1">
      <alignment horizontal="center"/>
      <protection locked="0"/>
    </xf>
    <xf numFmtId="49" fontId="2" fillId="4" borderId="5" xfId="0" applyNumberFormat="1" applyFont="1" applyFill="1" applyBorder="1" applyAlignment="1" applyProtection="1">
      <alignment horizontal="center"/>
      <protection locked="0"/>
    </xf>
    <xf numFmtId="49" fontId="0" fillId="8" borderId="3" xfId="0" applyNumberFormat="1" applyFill="1" applyBorder="1" applyAlignment="1" applyProtection="1">
      <alignment horizontal="left"/>
      <protection locked="0"/>
    </xf>
    <xf numFmtId="49" fontId="0" fillId="8" borderId="5" xfId="0" applyNumberFormat="1" applyFill="1" applyBorder="1" applyAlignment="1" applyProtection="1">
      <alignment horizontal="left"/>
      <protection locked="0"/>
    </xf>
    <xf numFmtId="0" fontId="0" fillId="8" borderId="3" xfId="0" applyFill="1" applyBorder="1" applyAlignment="1" applyProtection="1">
      <alignment horizontal="left"/>
      <protection locked="0"/>
    </xf>
    <xf numFmtId="0" fontId="0" fillId="8" borderId="5" xfId="0" applyFill="1" applyBorder="1" applyAlignment="1" applyProtection="1">
      <alignment horizontal="left"/>
      <protection locked="0"/>
    </xf>
    <xf numFmtId="0" fontId="0" fillId="3" borderId="10" xfId="0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6" fillId="2" borderId="7" xfId="0" applyFont="1" applyFill="1" applyBorder="1" applyAlignment="1" applyProtection="1">
      <alignment horizontal="center" wrapText="1"/>
    </xf>
    <xf numFmtId="0" fontId="6" fillId="2" borderId="6" xfId="0" applyFont="1" applyFill="1" applyBorder="1" applyAlignment="1" applyProtection="1">
      <alignment horizontal="center" wrapText="1"/>
    </xf>
    <xf numFmtId="0" fontId="6" fillId="2" borderId="8" xfId="0" applyFont="1" applyFill="1" applyBorder="1" applyAlignment="1" applyProtection="1">
      <alignment horizontal="center" wrapText="1"/>
    </xf>
    <xf numFmtId="0" fontId="6" fillId="2" borderId="10" xfId="0" applyFont="1" applyFill="1" applyBorder="1" applyAlignment="1" applyProtection="1">
      <alignment horizontal="center" wrapText="1"/>
    </xf>
    <xf numFmtId="0" fontId="6" fillId="2" borderId="11" xfId="0" applyFont="1" applyFill="1" applyBorder="1" applyAlignment="1" applyProtection="1">
      <alignment horizontal="center" wrapText="1"/>
    </xf>
    <xf numFmtId="0" fontId="6" fillId="2" borderId="12" xfId="0" applyFont="1" applyFill="1" applyBorder="1" applyAlignment="1" applyProtection="1">
      <alignment horizontal="center" wrapText="1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0" xfId="0" applyFont="1" applyFill="1" applyBorder="1" applyAlignment="1" applyProtection="1">
      <alignment horizontal="center" vertical="center" wrapText="1"/>
    </xf>
    <xf numFmtId="14" fontId="0" fillId="0" borderId="10" xfId="0" applyNumberFormat="1" applyBorder="1" applyAlignment="1" applyProtection="1">
      <alignment horizontal="center" vertical="center"/>
    </xf>
    <xf numFmtId="14" fontId="0" fillId="0" borderId="11" xfId="0" applyNumberFormat="1" applyBorder="1" applyAlignment="1" applyProtection="1">
      <alignment horizontal="center" vertical="center"/>
    </xf>
    <xf numFmtId="14" fontId="0" fillId="0" borderId="12" xfId="0" applyNumberFormat="1" applyBorder="1" applyAlignment="1" applyProtection="1">
      <alignment horizontal="center" vertical="center"/>
    </xf>
    <xf numFmtId="14" fontId="0" fillId="0" borderId="23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NumberFormat="1" applyBorder="1" applyAlignment="1" applyProtection="1">
      <alignment horizontal="center" vertical="center"/>
      <protection locked="0"/>
    </xf>
    <xf numFmtId="0" fontId="1" fillId="2" borderId="13" xfId="0" applyNumberFormat="1" applyFont="1" applyFill="1" applyBorder="1" applyAlignment="1" applyProtection="1">
      <alignment horizontal="center"/>
    </xf>
    <xf numFmtId="0" fontId="1" fillId="2" borderId="14" xfId="0" applyNumberFormat="1" applyFont="1" applyFill="1" applyBorder="1" applyAlignment="1" applyProtection="1">
      <alignment horizontal="center"/>
    </xf>
    <xf numFmtId="0" fontId="0" fillId="0" borderId="14" xfId="0" applyNumberFormat="1" applyBorder="1" applyAlignment="1" applyProtection="1"/>
    <xf numFmtId="0" fontId="0" fillId="0" borderId="15" xfId="0" applyNumberFormat="1" applyBorder="1" applyAlignment="1" applyProtection="1"/>
    <xf numFmtId="0" fontId="3" fillId="3" borderId="1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center" vertical="center"/>
    </xf>
    <xf numFmtId="49" fontId="0" fillId="0" borderId="23" xfId="0" applyNumberFormat="1" applyBorder="1" applyAlignment="1" applyProtection="1">
      <alignment horizontal="center" vertical="center"/>
      <protection locked="0"/>
    </xf>
    <xf numFmtId="167" fontId="0" fillId="0" borderId="23" xfId="0" applyNumberFormat="1" applyBorder="1" applyAlignment="1" applyProtection="1">
      <alignment horizontal="center" vertical="center"/>
      <protection locked="0"/>
    </xf>
    <xf numFmtId="167" fontId="0" fillId="0" borderId="24" xfId="0" applyNumberFormat="1" applyBorder="1" applyAlignment="1" applyProtection="1">
      <alignment horizontal="center" vertical="center"/>
      <protection locked="0"/>
    </xf>
    <xf numFmtId="167" fontId="0" fillId="0" borderId="25" xfId="0" applyNumberFormat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/>
    </xf>
    <xf numFmtId="0" fontId="0" fillId="3" borderId="11" xfId="0" applyFill="1" applyBorder="1" applyAlignment="1" applyProtection="1">
      <alignment horizontal="left"/>
    </xf>
    <xf numFmtId="165" fontId="0" fillId="0" borderId="16" xfId="0" applyNumberFormat="1" applyBorder="1" applyAlignment="1" applyProtection="1">
      <alignment horizontal="center" vertical="center"/>
      <protection locked="0"/>
    </xf>
    <xf numFmtId="165" fontId="0" fillId="0" borderId="17" xfId="0" applyNumberFormat="1" applyBorder="1" applyAlignment="1" applyProtection="1">
      <alignment horizontal="center" vertical="center"/>
      <protection locked="0"/>
    </xf>
    <xf numFmtId="165" fontId="0" fillId="0" borderId="18" xfId="0" applyNumberForma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165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0" fontId="1" fillId="3" borderId="3" xfId="0" applyNumberFormat="1" applyFont="1" applyFill="1" applyBorder="1" applyAlignment="1" applyProtection="1">
      <alignment horizontal="left"/>
    </xf>
    <xf numFmtId="0" fontId="1" fillId="3" borderId="4" xfId="0" applyNumberFormat="1" applyFont="1" applyFill="1" applyBorder="1" applyAlignment="1" applyProtection="1">
      <alignment horizontal="left"/>
    </xf>
    <xf numFmtId="0" fontId="0" fillId="3" borderId="4" xfId="0" applyNumberFormat="1" applyFill="1" applyBorder="1" applyAlignment="1" applyProtection="1">
      <alignment horizontal="left"/>
    </xf>
    <xf numFmtId="0" fontId="0" fillId="3" borderId="5" xfId="0" applyNumberFormat="1" applyFill="1" applyBorder="1" applyAlignment="1" applyProtection="1">
      <alignment horizontal="left"/>
    </xf>
    <xf numFmtId="0" fontId="2" fillId="3" borderId="7" xfId="0" applyFont="1" applyFill="1" applyBorder="1" applyAlignment="1" applyProtection="1">
      <alignment horizontal="center" vertical="center"/>
    </xf>
    <xf numFmtId="0" fontId="2" fillId="3" borderId="6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wrapText="1"/>
    </xf>
    <xf numFmtId="0" fontId="7" fillId="3" borderId="6" xfId="0" applyFont="1" applyFill="1" applyBorder="1" applyAlignment="1" applyProtection="1">
      <alignment horizontal="left" vertical="top" wrapText="1"/>
    </xf>
    <xf numFmtId="0" fontId="7" fillId="3" borderId="8" xfId="0" applyFont="1" applyFill="1" applyBorder="1" applyAlignment="1" applyProtection="1">
      <alignment horizontal="left" vertical="top" wrapText="1"/>
    </xf>
    <xf numFmtId="0" fontId="0" fillId="3" borderId="3" xfId="0" applyFill="1" applyBorder="1" applyAlignment="1" applyProtection="1">
      <alignment horizontal="left"/>
    </xf>
    <xf numFmtId="0" fontId="0" fillId="3" borderId="4" xfId="0" applyFill="1" applyBorder="1" applyAlignment="1" applyProtection="1">
      <alignment horizontal="left"/>
    </xf>
    <xf numFmtId="0" fontId="2" fillId="3" borderId="0" xfId="0" applyFont="1" applyFill="1" applyBorder="1" applyAlignment="1" applyProtection="1">
      <alignment horizontal="right"/>
    </xf>
    <xf numFmtId="0" fontId="2" fillId="0" borderId="7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165" fontId="0" fillId="0" borderId="6" xfId="0" applyNumberFormat="1" applyBorder="1" applyAlignment="1" applyProtection="1">
      <alignment horizontal="center" vertical="center"/>
    </xf>
    <xf numFmtId="165" fontId="0" fillId="0" borderId="8" xfId="0" applyNumberFormat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3" borderId="39" xfId="0" applyFill="1" applyBorder="1" applyAlignment="1" applyProtection="1">
      <alignment horizontal="left"/>
    </xf>
    <xf numFmtId="165" fontId="0" fillId="0" borderId="21" xfId="0" applyNumberFormat="1" applyBorder="1" applyAlignment="1" applyProtection="1">
      <alignment horizontal="center" vertical="center"/>
      <protection locked="0"/>
    </xf>
    <xf numFmtId="165" fontId="0" fillId="0" borderId="14" xfId="0" applyNumberFormat="1" applyBorder="1" applyAlignment="1" applyProtection="1">
      <alignment horizontal="center" vertical="center"/>
      <protection locked="0"/>
    </xf>
    <xf numFmtId="165" fontId="0" fillId="0" borderId="22" xfId="0" applyNumberFormat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</xf>
    <xf numFmtId="0" fontId="7" fillId="3" borderId="9" xfId="0" applyFont="1" applyFill="1" applyBorder="1" applyAlignment="1" applyProtection="1">
      <alignment horizontal="left" vertical="center" wrapText="1"/>
    </xf>
    <xf numFmtId="0" fontId="0" fillId="3" borderId="2" xfId="0" applyFill="1" applyBorder="1" applyAlignment="1" applyProtection="1">
      <alignment horizontal="left"/>
    </xf>
    <xf numFmtId="0" fontId="0" fillId="3" borderId="7" xfId="0" applyFill="1" applyBorder="1" applyAlignment="1" applyProtection="1">
      <alignment horizontal="left"/>
    </xf>
    <xf numFmtId="0" fontId="0" fillId="3" borderId="6" xfId="0" applyFill="1" applyBorder="1" applyAlignment="1" applyProtection="1">
      <alignment horizontal="left"/>
    </xf>
    <xf numFmtId="0" fontId="0" fillId="3" borderId="38" xfId="0" applyFill="1" applyBorder="1" applyAlignment="1" applyProtection="1">
      <alignment horizontal="left"/>
    </xf>
    <xf numFmtId="165" fontId="0" fillId="0" borderId="19" xfId="0" applyNumberForma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165" fontId="0" fillId="0" borderId="20" xfId="0" applyNumberForma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65" fontId="0" fillId="0" borderId="11" xfId="0" applyNumberFormat="1" applyBorder="1" applyAlignment="1" applyProtection="1">
      <alignment horizontal="center" vertical="center"/>
    </xf>
    <xf numFmtId="165" fontId="0" fillId="0" borderId="12" xfId="0" applyNumberFormat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top"/>
    </xf>
    <xf numFmtId="0" fontId="9" fillId="3" borderId="0" xfId="0" applyFont="1" applyFill="1" applyBorder="1" applyAlignment="1" applyProtection="1">
      <alignment horizontal="left" vertical="top" wrapText="1"/>
    </xf>
    <xf numFmtId="0" fontId="9" fillId="3" borderId="9" xfId="0" applyFont="1" applyFill="1" applyBorder="1" applyAlignment="1" applyProtection="1">
      <alignment horizontal="left" vertical="top" wrapText="1"/>
    </xf>
    <xf numFmtId="165" fontId="0" fillId="0" borderId="4" xfId="0" applyNumberFormat="1" applyFont="1" applyBorder="1" applyAlignment="1" applyProtection="1">
      <alignment horizontal="center" vertical="center"/>
    </xf>
    <xf numFmtId="165" fontId="0" fillId="0" borderId="5" xfId="0" applyNumberFormat="1" applyFont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wrapText="1"/>
    </xf>
    <xf numFmtId="0" fontId="4" fillId="3" borderId="4" xfId="0" applyFont="1" applyFill="1" applyBorder="1" applyAlignment="1" applyProtection="1">
      <alignment horizontal="center" vertical="top"/>
    </xf>
    <xf numFmtId="0" fontId="4" fillId="3" borderId="0" xfId="0" applyFont="1" applyFill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 vertical="center"/>
    </xf>
    <xf numFmtId="1" fontId="0" fillId="0" borderId="4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wrapText="1"/>
    </xf>
    <xf numFmtId="0" fontId="2" fillId="2" borderId="3" xfId="0" applyFont="1" applyFill="1" applyBorder="1" applyAlignment="1" applyProtection="1">
      <alignment horizontal="left"/>
    </xf>
    <xf numFmtId="0" fontId="2" fillId="2" borderId="4" xfId="0" applyFont="1" applyFill="1" applyBorder="1" applyAlignment="1" applyProtection="1">
      <alignment horizontal="left"/>
    </xf>
    <xf numFmtId="0" fontId="2" fillId="2" borderId="5" xfId="0" applyFont="1" applyFill="1" applyBorder="1" applyAlignment="1" applyProtection="1">
      <alignment horizontal="left"/>
    </xf>
    <xf numFmtId="0" fontId="0" fillId="3" borderId="7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0" borderId="23" xfId="0" applyNumberFormat="1" applyBorder="1" applyAlignment="1" applyProtection="1">
      <alignment horizontal="center" vertical="center"/>
      <protection locked="0"/>
    </xf>
    <xf numFmtId="0" fontId="10" fillId="3" borderId="0" xfId="0" applyFont="1" applyFill="1" applyBorder="1" applyAlignment="1" applyProtection="1">
      <alignment horizontal="center"/>
    </xf>
    <xf numFmtId="1" fontId="0" fillId="0" borderId="23" xfId="0" applyNumberFormat="1" applyBorder="1" applyAlignment="1" applyProtection="1">
      <alignment horizontal="center" vertical="center"/>
      <protection locked="0"/>
    </xf>
    <xf numFmtId="1" fontId="0" fillId="0" borderId="24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3" xfId="0" applyNumberFormat="1" applyBorder="1" applyAlignment="1" applyProtection="1">
      <alignment horizontal="center" vertical="center"/>
    </xf>
    <xf numFmtId="1" fontId="0" fillId="0" borderId="24" xfId="0" applyNumberFormat="1" applyBorder="1" applyAlignment="1" applyProtection="1">
      <alignment horizontal="center" vertical="center"/>
    </xf>
    <xf numFmtId="1" fontId="0" fillId="0" borderId="25" xfId="0" applyNumberFormat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3" fillId="3" borderId="0" xfId="0" applyFont="1" applyFill="1" applyBorder="1" applyProtection="1"/>
    <xf numFmtId="0" fontId="10" fillId="3" borderId="0" xfId="0" applyFont="1" applyFill="1" applyBorder="1" applyAlignment="1" applyProtection="1">
      <alignment horizontal="left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164" fontId="0" fillId="0" borderId="4" xfId="0" applyNumberFormat="1" applyBorder="1" applyAlignment="1" applyProtection="1">
      <alignment horizontal="center" vertical="center"/>
    </xf>
    <xf numFmtId="164" fontId="0" fillId="0" borderId="5" xfId="0" applyNumberFormat="1" applyBorder="1" applyAlignment="1" applyProtection="1">
      <alignment horizontal="center" vertical="center"/>
    </xf>
    <xf numFmtId="164" fontId="0" fillId="0" borderId="3" xfId="0" applyNumberFormat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/>
    </xf>
    <xf numFmtId="165" fontId="0" fillId="0" borderId="3" xfId="0" applyNumberFormat="1" applyBorder="1" applyAlignment="1" applyProtection="1">
      <alignment horizontal="center" vertical="center"/>
    </xf>
    <xf numFmtId="165" fontId="0" fillId="0" borderId="3" xfId="0" applyNumberFormat="1" applyFill="1" applyBorder="1" applyAlignment="1" applyProtection="1">
      <alignment horizontal="center" vertical="center"/>
    </xf>
    <xf numFmtId="165" fontId="0" fillId="0" borderId="4" xfId="0" applyNumberFormat="1" applyFill="1" applyBorder="1" applyAlignment="1" applyProtection="1">
      <alignment horizontal="center" vertical="center"/>
    </xf>
    <xf numFmtId="165" fontId="0" fillId="0" borderId="5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/>
    </xf>
    <xf numFmtId="0" fontId="0" fillId="2" borderId="4" xfId="0" applyFill="1" applyBorder="1" applyAlignment="1" applyProtection="1">
      <alignment horizontal="center"/>
    </xf>
    <xf numFmtId="0" fontId="0" fillId="2" borderId="5" xfId="0" applyFill="1" applyBorder="1" applyAlignment="1" applyProtection="1">
      <alignment horizontal="center"/>
    </xf>
    <xf numFmtId="0" fontId="11" fillId="3" borderId="7" xfId="0" applyFon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</xf>
    <xf numFmtId="165" fontId="3" fillId="0" borderId="4" xfId="0" applyNumberFormat="1" applyFont="1" applyBorder="1" applyAlignment="1" applyProtection="1">
      <alignment horizontal="center" vertical="center"/>
    </xf>
    <xf numFmtId="165" fontId="3" fillId="0" borderId="5" xfId="0" applyNumberFormat="1" applyFont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/>
    </xf>
    <xf numFmtId="0" fontId="4" fillId="3" borderId="9" xfId="0" applyFont="1" applyFill="1" applyBorder="1" applyAlignment="1" applyProtection="1">
      <alignment horizontal="left"/>
    </xf>
    <xf numFmtId="0" fontId="8" fillId="2" borderId="3" xfId="0" applyFont="1" applyFill="1" applyBorder="1" applyAlignment="1" applyProtection="1">
      <alignment horizontal="center"/>
    </xf>
    <xf numFmtId="0" fontId="8" fillId="2" borderId="4" xfId="0" applyFont="1" applyFill="1" applyBorder="1" applyAlignment="1" applyProtection="1">
      <alignment horizontal="center"/>
    </xf>
    <xf numFmtId="0" fontId="8" fillId="2" borderId="5" xfId="0" applyFont="1" applyFill="1" applyBorder="1" applyAlignment="1" applyProtection="1">
      <alignment horizontal="center"/>
    </xf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7" fontId="0" fillId="0" borderId="3" xfId="0" applyNumberFormat="1" applyFill="1" applyBorder="1" applyAlignment="1">
      <alignment horizontal="center"/>
    </xf>
    <xf numFmtId="167" fontId="0" fillId="0" borderId="4" xfId="0" applyNumberFormat="1" applyFill="1" applyBorder="1" applyAlignment="1">
      <alignment horizontal="center"/>
    </xf>
    <xf numFmtId="167" fontId="0" fillId="0" borderId="5" xfId="0" applyNumberForma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8" fillId="2" borderId="3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65" fontId="0" fillId="0" borderId="3" xfId="0" applyNumberFormat="1" applyFont="1" applyFill="1" applyBorder="1" applyAlignment="1">
      <alignment horizontal="center"/>
    </xf>
    <xf numFmtId="165" fontId="0" fillId="0" borderId="4" xfId="0" applyNumberFormat="1" applyFont="1" applyFill="1" applyBorder="1" applyAlignment="1">
      <alignment horizontal="center"/>
    </xf>
    <xf numFmtId="165" fontId="0" fillId="0" borderId="5" xfId="0" applyNumberFormat="1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165" fontId="0" fillId="0" borderId="16" xfId="0" applyNumberFormat="1" applyFont="1" applyFill="1" applyBorder="1" applyAlignment="1" applyProtection="1">
      <alignment horizontal="center" vertical="center"/>
      <protection locked="0"/>
    </xf>
    <xf numFmtId="165" fontId="0" fillId="0" borderId="17" xfId="0" applyNumberFormat="1" applyFont="1" applyFill="1" applyBorder="1" applyAlignment="1" applyProtection="1">
      <alignment horizontal="center" vertical="center"/>
      <protection locked="0"/>
    </xf>
    <xf numFmtId="165" fontId="0" fillId="0" borderId="18" xfId="0" applyNumberFormat="1" applyFont="1" applyFill="1" applyBorder="1" applyAlignment="1" applyProtection="1">
      <alignment horizontal="center" vertical="center"/>
      <protection locked="0"/>
    </xf>
    <xf numFmtId="165" fontId="0" fillId="0" borderId="19" xfId="0" applyNumberFormat="1" applyFont="1" applyFill="1" applyBorder="1" applyAlignment="1" applyProtection="1">
      <alignment horizontal="center" vertical="center"/>
      <protection locked="0"/>
    </xf>
    <xf numFmtId="165" fontId="0" fillId="0" borderId="4" xfId="0" applyNumberFormat="1" applyFont="1" applyFill="1" applyBorder="1" applyAlignment="1" applyProtection="1">
      <alignment horizontal="center" vertical="center"/>
      <protection locked="0"/>
    </xf>
    <xf numFmtId="165" fontId="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2" fillId="0" borderId="3" xfId="0" applyFont="1" applyFill="1" applyBorder="1" applyAlignment="1">
      <alignment horizontal="left" vertical="top"/>
    </xf>
    <xf numFmtId="0" fontId="2" fillId="0" borderId="4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center" vertical="center"/>
    </xf>
    <xf numFmtId="165" fontId="0" fillId="0" borderId="9" xfId="0" applyNumberFormat="1" applyFont="1" applyFill="1" applyBorder="1" applyAlignment="1">
      <alignment horizontal="center" vertical="center"/>
    </xf>
    <xf numFmtId="165" fontId="0" fillId="0" borderId="11" xfId="0" applyNumberFormat="1" applyFont="1" applyFill="1" applyBorder="1" applyAlignment="1">
      <alignment horizontal="center" vertical="center"/>
    </xf>
    <xf numFmtId="165" fontId="0" fillId="0" borderId="12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/>
    </xf>
    <xf numFmtId="9" fontId="0" fillId="0" borderId="3" xfId="0" applyNumberFormat="1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165" fontId="0" fillId="0" borderId="21" xfId="0" applyNumberFormat="1" applyFont="1" applyFill="1" applyBorder="1" applyAlignment="1" applyProtection="1">
      <alignment horizontal="center" vertical="center"/>
      <protection locked="0"/>
    </xf>
    <xf numFmtId="165" fontId="0" fillId="0" borderId="14" xfId="0" applyNumberFormat="1" applyFont="1" applyFill="1" applyBorder="1" applyAlignment="1" applyProtection="1">
      <alignment horizontal="center" vertical="center"/>
      <protection locked="0"/>
    </xf>
    <xf numFmtId="165" fontId="0" fillId="0" borderId="22" xfId="0" applyNumberFormat="1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wrapText="1"/>
    </xf>
    <xf numFmtId="0" fontId="8" fillId="2" borderId="6" xfId="0" applyFont="1" applyFill="1" applyBorder="1" applyAlignment="1">
      <alignment horizontal="left" wrapText="1"/>
    </xf>
    <xf numFmtId="0" fontId="8" fillId="2" borderId="8" xfId="0" applyFont="1" applyFill="1" applyBorder="1" applyAlignment="1">
      <alignment horizontal="left" wrapText="1"/>
    </xf>
    <xf numFmtId="0" fontId="8" fillId="2" borderId="10" xfId="0" applyFont="1" applyFill="1" applyBorder="1" applyAlignment="1">
      <alignment horizontal="left" wrapText="1"/>
    </xf>
    <xf numFmtId="0" fontId="8" fillId="2" borderId="11" xfId="0" applyFont="1" applyFill="1" applyBorder="1" applyAlignment="1">
      <alignment horizontal="left" wrapText="1"/>
    </xf>
    <xf numFmtId="0" fontId="8" fillId="2" borderId="12" xfId="0" applyFont="1" applyFill="1" applyBorder="1" applyAlignment="1">
      <alignment horizontal="left" wrapText="1"/>
    </xf>
    <xf numFmtId="165" fontId="0" fillId="0" borderId="3" xfId="0" applyNumberFormat="1" applyFont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8" fillId="3" borderId="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/>
    </xf>
    <xf numFmtId="0" fontId="15" fillId="3" borderId="0" xfId="0" applyFont="1" applyFill="1" applyBorder="1" applyAlignment="1">
      <alignment horizont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16" fillId="3" borderId="11" xfId="0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center" vertical="center"/>
    </xf>
    <xf numFmtId="165" fontId="0" fillId="0" borderId="5" xfId="0" applyNumberFormat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/>
    </xf>
    <xf numFmtId="0" fontId="8" fillId="2" borderId="6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4" xfId="0" applyNumberFormat="1" applyFont="1" applyFill="1" applyBorder="1" applyAlignment="1">
      <alignment horizontal="center" vertical="top"/>
    </xf>
    <xf numFmtId="164" fontId="0" fillId="0" borderId="5" xfId="0" applyNumberFormat="1" applyFont="1" applyFill="1" applyBorder="1" applyAlignment="1">
      <alignment horizontal="center" vertical="top"/>
    </xf>
    <xf numFmtId="165" fontId="0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ont="1" applyFill="1" applyBorder="1" applyAlignment="1">
      <alignment horizontal="center" vertical="center"/>
    </xf>
    <xf numFmtId="164" fontId="0" fillId="0" borderId="4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left"/>
    </xf>
    <xf numFmtId="0" fontId="16" fillId="3" borderId="0" xfId="0" applyFont="1" applyFill="1" applyBorder="1" applyAlignment="1">
      <alignment horizontal="left"/>
    </xf>
    <xf numFmtId="0" fontId="16" fillId="3" borderId="0" xfId="0" applyFont="1" applyFill="1" applyBorder="1" applyAlignment="1">
      <alignment horizontal="left" vertical="center"/>
    </xf>
    <xf numFmtId="0" fontId="17" fillId="3" borderId="6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17" fillId="3" borderId="0" xfId="0" applyFont="1" applyFill="1" applyBorder="1" applyAlignment="1">
      <alignment horizontal="left" vertical="center"/>
    </xf>
    <xf numFmtId="164" fontId="0" fillId="0" borderId="3" xfId="0" applyNumberFormat="1" applyFont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165" fontId="5" fillId="0" borderId="2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4" fillId="3" borderId="11" xfId="0" applyFont="1" applyFill="1" applyBorder="1" applyAlignment="1"/>
    <xf numFmtId="0" fontId="4" fillId="3" borderId="12" xfId="0" applyFont="1" applyFill="1" applyBorder="1" applyAlignment="1"/>
    <xf numFmtId="0" fontId="7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Q$2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$Q$2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45.emf"/><Relationship Id="rId18" Type="http://schemas.openxmlformats.org/officeDocument/2006/relationships/image" Target="../media/image31.emf"/><Relationship Id="rId26" Type="http://schemas.openxmlformats.org/officeDocument/2006/relationships/image" Target="../media/image23.emf"/><Relationship Id="rId3" Type="http://schemas.openxmlformats.org/officeDocument/2006/relationships/image" Target="../media/image37.emf"/><Relationship Id="rId21" Type="http://schemas.openxmlformats.org/officeDocument/2006/relationships/image" Target="../media/image28.emf"/><Relationship Id="rId7" Type="http://schemas.openxmlformats.org/officeDocument/2006/relationships/image" Target="../media/image34.emf"/><Relationship Id="rId12" Type="http://schemas.openxmlformats.org/officeDocument/2006/relationships/image" Target="../media/image44.emf"/><Relationship Id="rId17" Type="http://schemas.openxmlformats.org/officeDocument/2006/relationships/image" Target="../media/image32.emf"/><Relationship Id="rId25" Type="http://schemas.openxmlformats.org/officeDocument/2006/relationships/image" Target="../media/image24.emf"/><Relationship Id="rId2" Type="http://schemas.openxmlformats.org/officeDocument/2006/relationships/image" Target="../media/image38.emf"/><Relationship Id="rId16" Type="http://schemas.openxmlformats.org/officeDocument/2006/relationships/image" Target="../media/image48.emf"/><Relationship Id="rId20" Type="http://schemas.openxmlformats.org/officeDocument/2006/relationships/image" Target="../media/image29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11" Type="http://schemas.openxmlformats.org/officeDocument/2006/relationships/image" Target="../media/image43.emf"/><Relationship Id="rId24" Type="http://schemas.openxmlformats.org/officeDocument/2006/relationships/image" Target="../media/image25.emf"/><Relationship Id="rId5" Type="http://schemas.openxmlformats.org/officeDocument/2006/relationships/image" Target="../media/image36.emf"/><Relationship Id="rId15" Type="http://schemas.openxmlformats.org/officeDocument/2006/relationships/image" Target="../media/image47.emf"/><Relationship Id="rId23" Type="http://schemas.openxmlformats.org/officeDocument/2006/relationships/image" Target="../media/image26.emf"/><Relationship Id="rId10" Type="http://schemas.openxmlformats.org/officeDocument/2006/relationships/image" Target="../media/image42.emf"/><Relationship Id="rId19" Type="http://schemas.openxmlformats.org/officeDocument/2006/relationships/image" Target="../media/image30.emf"/><Relationship Id="rId4" Type="http://schemas.openxmlformats.org/officeDocument/2006/relationships/image" Target="../media/image40.emf"/><Relationship Id="rId9" Type="http://schemas.openxmlformats.org/officeDocument/2006/relationships/image" Target="../media/image41.emf"/><Relationship Id="rId14" Type="http://schemas.openxmlformats.org/officeDocument/2006/relationships/image" Target="../media/image46.emf"/><Relationship Id="rId22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</xdr:row>
          <xdr:rowOff>180975</xdr:rowOff>
        </xdr:from>
        <xdr:to>
          <xdr:col>12</xdr:col>
          <xdr:colOff>552450</xdr:colOff>
          <xdr:row>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10</xdr:row>
          <xdr:rowOff>57150</xdr:rowOff>
        </xdr:from>
        <xdr:to>
          <xdr:col>12</xdr:col>
          <xdr:colOff>9525</xdr:colOff>
          <xdr:row>11</xdr:row>
          <xdr:rowOff>104775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47625</xdr:rowOff>
        </xdr:from>
        <xdr:to>
          <xdr:col>2</xdr:col>
          <xdr:colOff>733425</xdr:colOff>
          <xdr:row>1</xdr:row>
          <xdr:rowOff>266700</xdr:rowOff>
        </xdr:to>
        <xdr:sp macro="" textlink="">
          <xdr:nvSpPr>
            <xdr:cNvPr id="8197" name="Term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47625</xdr:rowOff>
        </xdr:from>
        <xdr:to>
          <xdr:col>4</xdr:col>
          <xdr:colOff>47625</xdr:colOff>
          <xdr:row>1</xdr:row>
          <xdr:rowOff>266700</xdr:rowOff>
        </xdr:to>
        <xdr:sp macro="" textlink="">
          <xdr:nvSpPr>
            <xdr:cNvPr id="8198" name="Term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228600</xdr:rowOff>
        </xdr:from>
        <xdr:to>
          <xdr:col>6</xdr:col>
          <xdr:colOff>104775</xdr:colOff>
          <xdr:row>3</xdr:row>
          <xdr:rowOff>9525</xdr:rowOff>
        </xdr:to>
        <xdr:sp macro="" textlink="">
          <xdr:nvSpPr>
            <xdr:cNvPr id="8199" name="ComboBox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11</xdr:col>
          <xdr:colOff>466725</xdr:colOff>
          <xdr:row>2</xdr:row>
          <xdr:rowOff>171450</xdr:rowOff>
        </xdr:to>
        <xdr:sp macro="" textlink="">
          <xdr:nvSpPr>
            <xdr:cNvPr id="8200" name="MiscNotes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20</xdr:row>
          <xdr:rowOff>123825</xdr:rowOff>
        </xdr:from>
        <xdr:to>
          <xdr:col>12</xdr:col>
          <xdr:colOff>561975</xdr:colOff>
          <xdr:row>22</xdr:row>
          <xdr:rowOff>28575</xdr:rowOff>
        </xdr:to>
        <xdr:sp macro="" textlink="">
          <xdr:nvSpPr>
            <xdr:cNvPr id="8204" name="CreateCase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22</xdr:row>
          <xdr:rowOff>180975</xdr:rowOff>
        </xdr:from>
        <xdr:to>
          <xdr:col>2</xdr:col>
          <xdr:colOff>666750</xdr:colOff>
          <xdr:row>24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24</xdr:row>
          <xdr:rowOff>57150</xdr:rowOff>
        </xdr:from>
        <xdr:to>
          <xdr:col>2</xdr:col>
          <xdr:colOff>666750</xdr:colOff>
          <xdr:row>25</xdr:row>
          <xdr:rowOff>66675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25</xdr:row>
          <xdr:rowOff>123825</xdr:rowOff>
        </xdr:from>
        <xdr:to>
          <xdr:col>2</xdr:col>
          <xdr:colOff>666750</xdr:colOff>
          <xdr:row>26</xdr:row>
          <xdr:rowOff>133350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1</xdr:row>
          <xdr:rowOff>104775</xdr:rowOff>
        </xdr:from>
        <xdr:to>
          <xdr:col>12</xdr:col>
          <xdr:colOff>438150</xdr:colOff>
          <xdr:row>2</xdr:row>
          <xdr:rowOff>171450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10</xdr:row>
          <xdr:rowOff>57150</xdr:rowOff>
        </xdr:from>
        <xdr:to>
          <xdr:col>12</xdr:col>
          <xdr:colOff>9525</xdr:colOff>
          <xdr:row>11</xdr:row>
          <xdr:rowOff>104775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</xdr:row>
          <xdr:rowOff>38100</xdr:rowOff>
        </xdr:from>
        <xdr:to>
          <xdr:col>6</xdr:col>
          <xdr:colOff>28575</xdr:colOff>
          <xdr:row>2</xdr:row>
          <xdr:rowOff>57150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 Term Award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104775</xdr:rowOff>
        </xdr:from>
        <xdr:to>
          <xdr:col>13</xdr:col>
          <xdr:colOff>28575</xdr:colOff>
          <xdr:row>2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11</xdr:row>
          <xdr:rowOff>57150</xdr:rowOff>
        </xdr:from>
        <xdr:to>
          <xdr:col>12</xdr:col>
          <xdr:colOff>9525</xdr:colOff>
          <xdr:row>12</xdr:row>
          <xdr:rowOff>104775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247650</xdr:rowOff>
        </xdr:from>
        <xdr:to>
          <xdr:col>6</xdr:col>
          <xdr:colOff>66675</xdr:colOff>
          <xdr:row>3</xdr:row>
          <xdr:rowOff>0</xdr:rowOff>
        </xdr:to>
        <xdr:sp macro="" textlink="">
          <xdr:nvSpPr>
            <xdr:cNvPr id="10244" name="ComboBox1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</xdr:row>
          <xdr:rowOff>228600</xdr:rowOff>
        </xdr:from>
        <xdr:to>
          <xdr:col>11</xdr:col>
          <xdr:colOff>66675</xdr:colOff>
          <xdr:row>2</xdr:row>
          <xdr:rowOff>171450</xdr:rowOff>
        </xdr:to>
        <xdr:sp macro="" textlink="">
          <xdr:nvSpPr>
            <xdr:cNvPr id="10245" name="MiscNot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57150</xdr:rowOff>
        </xdr:from>
        <xdr:to>
          <xdr:col>3</xdr:col>
          <xdr:colOff>276225</xdr:colOff>
          <xdr:row>1</xdr:row>
          <xdr:rowOff>285750</xdr:rowOff>
        </xdr:to>
        <xdr:sp macro="" textlink="">
          <xdr:nvSpPr>
            <xdr:cNvPr id="10248" name="oneTermAward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1</xdr:row>
          <xdr:rowOff>104775</xdr:rowOff>
        </xdr:from>
        <xdr:to>
          <xdr:col>12</xdr:col>
          <xdr:colOff>438150</xdr:colOff>
          <xdr:row>2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11</xdr:row>
          <xdr:rowOff>57150</xdr:rowOff>
        </xdr:from>
        <xdr:to>
          <xdr:col>12</xdr:col>
          <xdr:colOff>9525</xdr:colOff>
          <xdr:row>12</xdr:row>
          <xdr:rowOff>104775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161925</xdr:colOff>
          <xdr:row>2</xdr:row>
          <xdr:rowOff>76200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 Term Award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</xdr:row>
          <xdr:rowOff>133350</xdr:rowOff>
        </xdr:from>
        <xdr:to>
          <xdr:col>12</xdr:col>
          <xdr:colOff>552450</xdr:colOff>
          <xdr:row>2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11</xdr:row>
          <xdr:rowOff>57150</xdr:rowOff>
        </xdr:from>
        <xdr:to>
          <xdr:col>12</xdr:col>
          <xdr:colOff>9525</xdr:colOff>
          <xdr:row>12</xdr:row>
          <xdr:rowOff>104775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19050</xdr:rowOff>
        </xdr:from>
        <xdr:to>
          <xdr:col>2</xdr:col>
          <xdr:colOff>714375</xdr:colOff>
          <xdr:row>1</xdr:row>
          <xdr:rowOff>276225</xdr:rowOff>
        </xdr:to>
        <xdr:sp macro="" textlink="">
          <xdr:nvSpPr>
            <xdr:cNvPr id="12291" name="Term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1</xdr:row>
          <xdr:rowOff>28575</xdr:rowOff>
        </xdr:from>
        <xdr:to>
          <xdr:col>3</xdr:col>
          <xdr:colOff>523875</xdr:colOff>
          <xdr:row>1</xdr:row>
          <xdr:rowOff>257175</xdr:rowOff>
        </xdr:to>
        <xdr:sp macro="" textlink="">
          <xdr:nvSpPr>
            <xdr:cNvPr id="12292" name="Term2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219075</xdr:rowOff>
        </xdr:from>
        <xdr:to>
          <xdr:col>6</xdr:col>
          <xdr:colOff>104775</xdr:colOff>
          <xdr:row>3</xdr:row>
          <xdr:rowOff>0</xdr:rowOff>
        </xdr:to>
        <xdr:sp macro="" textlink="">
          <xdr:nvSpPr>
            <xdr:cNvPr id="12293" name="ComboBox1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209550</xdr:rowOff>
        </xdr:from>
        <xdr:to>
          <xdr:col>11</xdr:col>
          <xdr:colOff>228600</xdr:colOff>
          <xdr:row>2</xdr:row>
          <xdr:rowOff>180975</xdr:rowOff>
        </xdr:to>
        <xdr:sp macro="" textlink="">
          <xdr:nvSpPr>
            <xdr:cNvPr id="12294" name="MiscNot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4</xdr:row>
          <xdr:rowOff>142875</xdr:rowOff>
        </xdr:from>
        <xdr:to>
          <xdr:col>6</xdr:col>
          <xdr:colOff>38100</xdr:colOff>
          <xdr:row>6</xdr:row>
          <xdr:rowOff>38100</xdr:rowOff>
        </xdr:to>
        <xdr:sp macro="" textlink="">
          <xdr:nvSpPr>
            <xdr:cNvPr id="12295" name="threeFund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1</xdr:row>
          <xdr:rowOff>142875</xdr:rowOff>
        </xdr:from>
        <xdr:to>
          <xdr:col>12</xdr:col>
          <xdr:colOff>542925</xdr:colOff>
          <xdr:row>2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10</xdr:row>
          <xdr:rowOff>57150</xdr:rowOff>
        </xdr:from>
        <xdr:to>
          <xdr:col>12</xdr:col>
          <xdr:colOff>9525</xdr:colOff>
          <xdr:row>11</xdr:row>
          <xdr:rowOff>104775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19050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5125" name="Term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3</xdr:col>
          <xdr:colOff>790575</xdr:colOff>
          <xdr:row>1</xdr:row>
          <xdr:rowOff>276225</xdr:rowOff>
        </xdr:to>
        <xdr:sp macro="" textlink="">
          <xdr:nvSpPr>
            <xdr:cNvPr id="5126" name="Term2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</xdr:row>
          <xdr:rowOff>209550</xdr:rowOff>
        </xdr:from>
        <xdr:to>
          <xdr:col>6</xdr:col>
          <xdr:colOff>76200</xdr:colOff>
          <xdr:row>3</xdr:row>
          <xdr:rowOff>0</xdr:rowOff>
        </xdr:to>
        <xdr:sp macro="" textlink="">
          <xdr:nvSpPr>
            <xdr:cNvPr id="5127" name="ComboBox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219075</xdr:rowOff>
        </xdr:from>
        <xdr:to>
          <xdr:col>11</xdr:col>
          <xdr:colOff>228600</xdr:colOff>
          <xdr:row>2</xdr:row>
          <xdr:rowOff>180975</xdr:rowOff>
        </xdr:to>
        <xdr:sp macro="" textlink="">
          <xdr:nvSpPr>
            <xdr:cNvPr id="5128" name="MiscNotes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133350</xdr:rowOff>
        </xdr:from>
        <xdr:to>
          <xdr:col>13</xdr:col>
          <xdr:colOff>38100</xdr:colOff>
          <xdr:row>2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10</xdr:row>
          <xdr:rowOff>57150</xdr:rowOff>
        </xdr:from>
        <xdr:to>
          <xdr:col>12</xdr:col>
          <xdr:colOff>9525</xdr:colOff>
          <xdr:row>11</xdr:row>
          <xdr:rowOff>104775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</xdr:row>
          <xdr:rowOff>66675</xdr:rowOff>
        </xdr:from>
        <xdr:to>
          <xdr:col>2</xdr:col>
          <xdr:colOff>676275</xdr:colOff>
          <xdr:row>1</xdr:row>
          <xdr:rowOff>323850</xdr:rowOff>
        </xdr:to>
        <xdr:sp macro="" textlink="">
          <xdr:nvSpPr>
            <xdr:cNvPr id="13317" name="Term1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66675</xdr:rowOff>
        </xdr:from>
        <xdr:to>
          <xdr:col>3</xdr:col>
          <xdr:colOff>762000</xdr:colOff>
          <xdr:row>1</xdr:row>
          <xdr:rowOff>333375</xdr:rowOff>
        </xdr:to>
        <xdr:sp macro="" textlink="">
          <xdr:nvSpPr>
            <xdr:cNvPr id="13318" name="Term2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1</xdr:row>
          <xdr:rowOff>66675</xdr:rowOff>
        </xdr:from>
        <xdr:to>
          <xdr:col>5</xdr:col>
          <xdr:colOff>95250</xdr:colOff>
          <xdr:row>1</xdr:row>
          <xdr:rowOff>323850</xdr:rowOff>
        </xdr:to>
        <xdr:sp macro="" textlink="">
          <xdr:nvSpPr>
            <xdr:cNvPr id="13319" name="ComboBox1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1</xdr:row>
          <xdr:rowOff>152400</xdr:rowOff>
        </xdr:from>
        <xdr:to>
          <xdr:col>11</xdr:col>
          <xdr:colOff>381000</xdr:colOff>
          <xdr:row>2</xdr:row>
          <xdr:rowOff>57150</xdr:rowOff>
        </xdr:to>
        <xdr:sp macro="" textlink="">
          <xdr:nvSpPr>
            <xdr:cNvPr id="13320" name="MiscNotes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23</xdr:row>
          <xdr:rowOff>57150</xdr:rowOff>
        </xdr:from>
        <xdr:to>
          <xdr:col>12</xdr:col>
          <xdr:colOff>495300</xdr:colOff>
          <xdr:row>24</xdr:row>
          <xdr:rowOff>133350</xdr:rowOff>
        </xdr:to>
        <xdr:sp macro="" textlink="">
          <xdr:nvSpPr>
            <xdr:cNvPr id="13321" name="EmailCombo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6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25</xdr:row>
          <xdr:rowOff>38100</xdr:rowOff>
        </xdr:from>
        <xdr:to>
          <xdr:col>2</xdr:col>
          <xdr:colOff>466725</xdr:colOff>
          <xdr:row>26</xdr:row>
          <xdr:rowOff>85725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20</xdr:row>
          <xdr:rowOff>161925</xdr:rowOff>
        </xdr:from>
        <xdr:to>
          <xdr:col>2</xdr:col>
          <xdr:colOff>447675</xdr:colOff>
          <xdr:row>21</xdr:row>
          <xdr:rowOff>171450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22</xdr:row>
          <xdr:rowOff>19050</xdr:rowOff>
        </xdr:from>
        <xdr:to>
          <xdr:col>2</xdr:col>
          <xdr:colOff>447675</xdr:colOff>
          <xdr:row>23</xdr:row>
          <xdr:rowOff>28575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6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104775</xdr:rowOff>
        </xdr:from>
        <xdr:to>
          <xdr:col>15</xdr:col>
          <xdr:colOff>438150</xdr:colOff>
          <xdr:row>2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18</xdr:row>
          <xdr:rowOff>123825</xdr:rowOff>
        </xdr:from>
        <xdr:to>
          <xdr:col>15</xdr:col>
          <xdr:colOff>19050</xdr:colOff>
          <xdr:row>19</xdr:row>
          <xdr:rowOff>180975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Copy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14</xdr:row>
          <xdr:rowOff>28575</xdr:rowOff>
        </xdr:from>
        <xdr:to>
          <xdr:col>3</xdr:col>
          <xdr:colOff>66675</xdr:colOff>
          <xdr:row>14</xdr:row>
          <xdr:rowOff>257175</xdr:rowOff>
        </xdr:to>
        <xdr:sp macro="" textlink="">
          <xdr:nvSpPr>
            <xdr:cNvPr id="14351" name="OneTermAward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38100</xdr:rowOff>
        </xdr:from>
        <xdr:to>
          <xdr:col>2</xdr:col>
          <xdr:colOff>771525</xdr:colOff>
          <xdr:row>2</xdr:row>
          <xdr:rowOff>0</xdr:rowOff>
        </xdr:to>
        <xdr:sp macro="" textlink="">
          <xdr:nvSpPr>
            <xdr:cNvPr id="14371" name="Term1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7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38100</xdr:rowOff>
        </xdr:from>
        <xdr:to>
          <xdr:col>4</xdr:col>
          <xdr:colOff>0</xdr:colOff>
          <xdr:row>1</xdr:row>
          <xdr:rowOff>323850</xdr:rowOff>
        </xdr:to>
        <xdr:sp macro="" textlink="">
          <xdr:nvSpPr>
            <xdr:cNvPr id="14372" name="Term2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7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9</xdr:row>
          <xdr:rowOff>104775</xdr:rowOff>
        </xdr:from>
        <xdr:to>
          <xdr:col>7</xdr:col>
          <xdr:colOff>95250</xdr:colOff>
          <xdr:row>9</xdr:row>
          <xdr:rowOff>400050</xdr:rowOff>
        </xdr:to>
        <xdr:sp macro="" textlink="">
          <xdr:nvSpPr>
            <xdr:cNvPr id="14373" name="Est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7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21</xdr:row>
          <xdr:rowOff>0</xdr:rowOff>
        </xdr:from>
        <xdr:to>
          <xdr:col>15</xdr:col>
          <xdr:colOff>180975</xdr:colOff>
          <xdr:row>21</xdr:row>
          <xdr:rowOff>352425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7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15</xdr:row>
          <xdr:rowOff>38100</xdr:rowOff>
        </xdr:from>
        <xdr:to>
          <xdr:col>4</xdr:col>
          <xdr:colOff>809625</xdr:colOff>
          <xdr:row>16</xdr:row>
          <xdr:rowOff>0</xdr:rowOff>
        </xdr:to>
        <xdr:sp macro="" textlink="">
          <xdr:nvSpPr>
            <xdr:cNvPr id="14377" name="T1Unsub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7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16</xdr:row>
          <xdr:rowOff>28575</xdr:rowOff>
        </xdr:from>
        <xdr:to>
          <xdr:col>4</xdr:col>
          <xdr:colOff>809625</xdr:colOff>
          <xdr:row>16</xdr:row>
          <xdr:rowOff>180975</xdr:rowOff>
        </xdr:to>
        <xdr:sp macro="" textlink="">
          <xdr:nvSpPr>
            <xdr:cNvPr id="14378" name="T1Sub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7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17</xdr:row>
          <xdr:rowOff>19050</xdr:rowOff>
        </xdr:from>
        <xdr:to>
          <xdr:col>4</xdr:col>
          <xdr:colOff>809625</xdr:colOff>
          <xdr:row>17</xdr:row>
          <xdr:rowOff>180975</xdr:rowOff>
        </xdr:to>
        <xdr:sp macro="" textlink="">
          <xdr:nvSpPr>
            <xdr:cNvPr id="14379" name="T1Perk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7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18</xdr:row>
          <xdr:rowOff>28575</xdr:rowOff>
        </xdr:from>
        <xdr:to>
          <xdr:col>4</xdr:col>
          <xdr:colOff>809625</xdr:colOff>
          <xdr:row>18</xdr:row>
          <xdr:rowOff>180975</xdr:rowOff>
        </xdr:to>
        <xdr:sp macro="" textlink="">
          <xdr:nvSpPr>
            <xdr:cNvPr id="14380" name="T1Grad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7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19</xdr:row>
          <xdr:rowOff>28575</xdr:rowOff>
        </xdr:from>
        <xdr:to>
          <xdr:col>4</xdr:col>
          <xdr:colOff>809625</xdr:colOff>
          <xdr:row>19</xdr:row>
          <xdr:rowOff>180975</xdr:rowOff>
        </xdr:to>
        <xdr:sp macro="" textlink="">
          <xdr:nvSpPr>
            <xdr:cNvPr id="14381" name="T1Parent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7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1</xdr:row>
          <xdr:rowOff>47625</xdr:rowOff>
        </xdr:from>
        <xdr:to>
          <xdr:col>5</xdr:col>
          <xdr:colOff>219075</xdr:colOff>
          <xdr:row>1</xdr:row>
          <xdr:rowOff>285750</xdr:rowOff>
        </xdr:to>
        <xdr:sp macro="" textlink="">
          <xdr:nvSpPr>
            <xdr:cNvPr id="14382" name="AY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7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428625</xdr:colOff>
          <xdr:row>1</xdr:row>
          <xdr:rowOff>66675</xdr:rowOff>
        </xdr:from>
        <xdr:to>
          <xdr:col>13</xdr:col>
          <xdr:colOff>1400175</xdr:colOff>
          <xdr:row>1</xdr:row>
          <xdr:rowOff>314325</xdr:rowOff>
        </xdr:to>
        <xdr:sp macro="" textlink="">
          <xdr:nvSpPr>
            <xdr:cNvPr id="14383" name="MiscNotes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7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28575</xdr:rowOff>
        </xdr:from>
        <xdr:to>
          <xdr:col>5</xdr:col>
          <xdr:colOff>9525</xdr:colOff>
          <xdr:row>14</xdr:row>
          <xdr:rowOff>266700</xdr:rowOff>
        </xdr:to>
        <xdr:sp macro="" textlink="">
          <xdr:nvSpPr>
            <xdr:cNvPr id="14384" name="Undisbursed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7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13</xdr:row>
          <xdr:rowOff>38100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4385" name="T1Teach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7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12</xdr:row>
          <xdr:rowOff>38100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86" name="T1FSEOG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7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11</xdr:row>
          <xdr:rowOff>28575</xdr:rowOff>
        </xdr:from>
        <xdr:to>
          <xdr:col>5</xdr:col>
          <xdr:colOff>0</xdr:colOff>
          <xdr:row>11</xdr:row>
          <xdr:rowOff>180975</xdr:rowOff>
        </xdr:to>
        <xdr:sp macro="" textlink="">
          <xdr:nvSpPr>
            <xdr:cNvPr id="14387" name="T1Grant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7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10</xdr:row>
          <xdr:rowOff>38100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4388" name="T1Pell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7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15</xdr:row>
          <xdr:rowOff>19050</xdr:rowOff>
        </xdr:from>
        <xdr:to>
          <xdr:col>2</xdr:col>
          <xdr:colOff>0</xdr:colOff>
          <xdr:row>15</xdr:row>
          <xdr:rowOff>171450</xdr:rowOff>
        </xdr:to>
        <xdr:sp macro="" textlink="">
          <xdr:nvSpPr>
            <xdr:cNvPr id="14389" name="Unsub1T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7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28575</xdr:rowOff>
        </xdr:from>
        <xdr:to>
          <xdr:col>2</xdr:col>
          <xdr:colOff>0</xdr:colOff>
          <xdr:row>16</xdr:row>
          <xdr:rowOff>180975</xdr:rowOff>
        </xdr:to>
        <xdr:sp macro="" textlink="">
          <xdr:nvSpPr>
            <xdr:cNvPr id="14390" name="Sub1T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7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28575</xdr:rowOff>
        </xdr:from>
        <xdr:to>
          <xdr:col>2</xdr:col>
          <xdr:colOff>0</xdr:colOff>
          <xdr:row>17</xdr:row>
          <xdr:rowOff>180975</xdr:rowOff>
        </xdr:to>
        <xdr:sp macro="" textlink="">
          <xdr:nvSpPr>
            <xdr:cNvPr id="14391" name="Perk1T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7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28575</xdr:rowOff>
        </xdr:from>
        <xdr:to>
          <xdr:col>2</xdr:col>
          <xdr:colOff>0</xdr:colOff>
          <xdr:row>18</xdr:row>
          <xdr:rowOff>180975</xdr:rowOff>
        </xdr:to>
        <xdr:sp macro="" textlink="">
          <xdr:nvSpPr>
            <xdr:cNvPr id="14392" name="Grad1T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7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19</xdr:row>
          <xdr:rowOff>28575</xdr:rowOff>
        </xdr:from>
        <xdr:to>
          <xdr:col>2</xdr:col>
          <xdr:colOff>0</xdr:colOff>
          <xdr:row>19</xdr:row>
          <xdr:rowOff>180975</xdr:rowOff>
        </xdr:to>
        <xdr:sp macro="" textlink="">
          <xdr:nvSpPr>
            <xdr:cNvPr id="14393" name="Parent1T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7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76200</xdr:rowOff>
        </xdr:from>
        <xdr:to>
          <xdr:col>6</xdr:col>
          <xdr:colOff>28575</xdr:colOff>
          <xdr:row>21</xdr:row>
          <xdr:rowOff>314325</xdr:rowOff>
        </xdr:to>
        <xdr:sp macro="" textlink="">
          <xdr:nvSpPr>
            <xdr:cNvPr id="14436" name="FirstTerm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7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19050</xdr:rowOff>
        </xdr:from>
        <xdr:to>
          <xdr:col>9</xdr:col>
          <xdr:colOff>209550</xdr:colOff>
          <xdr:row>16</xdr:row>
          <xdr:rowOff>0</xdr:rowOff>
        </xdr:to>
        <xdr:sp macro="" textlink="">
          <xdr:nvSpPr>
            <xdr:cNvPr id="14440" name="UnsubUndisbursed2nd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7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19050</xdr:rowOff>
        </xdr:from>
        <xdr:to>
          <xdr:col>9</xdr:col>
          <xdr:colOff>209550</xdr:colOff>
          <xdr:row>17</xdr:row>
          <xdr:rowOff>0</xdr:rowOff>
        </xdr:to>
        <xdr:sp macro="" textlink="">
          <xdr:nvSpPr>
            <xdr:cNvPr id="14441" name="SubUndisbursed2nd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7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28575</xdr:rowOff>
        </xdr:from>
        <xdr:to>
          <xdr:col>9</xdr:col>
          <xdr:colOff>209550</xdr:colOff>
          <xdr:row>18</xdr:row>
          <xdr:rowOff>9525</xdr:rowOff>
        </xdr:to>
        <xdr:sp macro="" textlink="">
          <xdr:nvSpPr>
            <xdr:cNvPr id="14442" name="PerkinsUndisbursed2nd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7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18</xdr:row>
          <xdr:rowOff>19050</xdr:rowOff>
        </xdr:from>
        <xdr:to>
          <xdr:col>9</xdr:col>
          <xdr:colOff>209550</xdr:colOff>
          <xdr:row>19</xdr:row>
          <xdr:rowOff>0</xdr:rowOff>
        </xdr:to>
        <xdr:sp macro="" textlink="">
          <xdr:nvSpPr>
            <xdr:cNvPr id="14443" name="GradUndisbursed2nd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7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19050</xdr:rowOff>
        </xdr:from>
        <xdr:to>
          <xdr:col>9</xdr:col>
          <xdr:colOff>209550</xdr:colOff>
          <xdr:row>20</xdr:row>
          <xdr:rowOff>0</xdr:rowOff>
        </xdr:to>
        <xdr:sp macro="" textlink="">
          <xdr:nvSpPr>
            <xdr:cNvPr id="14444" name="ParentUndisbursed2nd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7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15</xdr:row>
          <xdr:rowOff>38100</xdr:rowOff>
        </xdr:from>
        <xdr:to>
          <xdr:col>6</xdr:col>
          <xdr:colOff>723900</xdr:colOff>
          <xdr:row>16</xdr:row>
          <xdr:rowOff>19050</xdr:rowOff>
        </xdr:to>
        <xdr:sp macro="" textlink="">
          <xdr:nvSpPr>
            <xdr:cNvPr id="14445" name="UnsubUndisbursed1st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7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16</xdr:row>
          <xdr:rowOff>28575</xdr:rowOff>
        </xdr:from>
        <xdr:to>
          <xdr:col>6</xdr:col>
          <xdr:colOff>723900</xdr:colOff>
          <xdr:row>17</xdr:row>
          <xdr:rowOff>9525</xdr:rowOff>
        </xdr:to>
        <xdr:sp macro="" textlink="">
          <xdr:nvSpPr>
            <xdr:cNvPr id="14446" name="SubUndisbursed1st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7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17</xdr:row>
          <xdr:rowOff>9525</xdr:rowOff>
        </xdr:from>
        <xdr:to>
          <xdr:col>6</xdr:col>
          <xdr:colOff>723900</xdr:colOff>
          <xdr:row>17</xdr:row>
          <xdr:rowOff>180975</xdr:rowOff>
        </xdr:to>
        <xdr:sp macro="" textlink="">
          <xdr:nvSpPr>
            <xdr:cNvPr id="14447" name="PerkinsUndisbursed1st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7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18</xdr:row>
          <xdr:rowOff>0</xdr:rowOff>
        </xdr:from>
        <xdr:to>
          <xdr:col>6</xdr:col>
          <xdr:colOff>723900</xdr:colOff>
          <xdr:row>18</xdr:row>
          <xdr:rowOff>171450</xdr:rowOff>
        </xdr:to>
        <xdr:sp macro="" textlink="">
          <xdr:nvSpPr>
            <xdr:cNvPr id="14448" name="GradUndisbursed1st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7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19</xdr:row>
          <xdr:rowOff>0</xdr:rowOff>
        </xdr:from>
        <xdr:to>
          <xdr:col>6</xdr:col>
          <xdr:colOff>723900</xdr:colOff>
          <xdr:row>19</xdr:row>
          <xdr:rowOff>171450</xdr:rowOff>
        </xdr:to>
        <xdr:sp macro="" textlink="">
          <xdr:nvSpPr>
            <xdr:cNvPr id="14449" name="ParentUndisbursed1st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7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3</xdr:row>
          <xdr:rowOff>314325</xdr:rowOff>
        </xdr:from>
        <xdr:to>
          <xdr:col>39</xdr:col>
          <xdr:colOff>57150</xdr:colOff>
          <xdr:row>5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Payment Period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</xdr:colOff>
          <xdr:row>3</xdr:row>
          <xdr:rowOff>304800</xdr:rowOff>
        </xdr:from>
        <xdr:to>
          <xdr:col>56</xdr:col>
          <xdr:colOff>0</xdr:colOff>
          <xdr:row>5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Period of Enrollment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89</xdr:col>
      <xdr:colOff>85725</xdr:colOff>
      <xdr:row>24</xdr:row>
      <xdr:rowOff>4762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582025" y="36718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6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ctrlProp" Target="../ctrlProps/ctrlProp15.xml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ctrlProp" Target="../ctrlProps/ctrlProp19.xml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9" Type="http://schemas.openxmlformats.org/officeDocument/2006/relationships/image" Target="../media/image39.emf"/><Relationship Id="rId21" Type="http://schemas.openxmlformats.org/officeDocument/2006/relationships/image" Target="../media/image31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control" Target="../activeX/activeX46.xml"/><Relationship Id="rId50" Type="http://schemas.openxmlformats.org/officeDocument/2006/relationships/control" Target="../activeX/activeX49.xml"/><Relationship Id="rId55" Type="http://schemas.openxmlformats.org/officeDocument/2006/relationships/image" Target="../media/image45.emf"/><Relationship Id="rId63" Type="http://schemas.openxmlformats.org/officeDocument/2006/relationships/ctrlProp" Target="../ctrlProps/ctrlProp24.x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control" Target="../activeX/activeX36.xml"/><Relationship Id="rId41" Type="http://schemas.openxmlformats.org/officeDocument/2006/relationships/image" Target="../media/image40.emf"/><Relationship Id="rId54" Type="http://schemas.openxmlformats.org/officeDocument/2006/relationships/control" Target="../activeX/activeX51.xml"/><Relationship Id="rId62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24" Type="http://schemas.openxmlformats.org/officeDocument/2006/relationships/control" Target="../activeX/activeX33.xml"/><Relationship Id="rId32" Type="http://schemas.openxmlformats.org/officeDocument/2006/relationships/image" Target="../media/image36.emf"/><Relationship Id="rId37" Type="http://schemas.openxmlformats.org/officeDocument/2006/relationships/image" Target="../media/image38.emf"/><Relationship Id="rId40" Type="http://schemas.openxmlformats.org/officeDocument/2006/relationships/control" Target="../activeX/activeX42.xml"/><Relationship Id="rId45" Type="http://schemas.openxmlformats.org/officeDocument/2006/relationships/image" Target="../media/image42.emf"/><Relationship Id="rId53" Type="http://schemas.openxmlformats.org/officeDocument/2006/relationships/image" Target="../media/image44.emf"/><Relationship Id="rId58" Type="http://schemas.openxmlformats.org/officeDocument/2006/relationships/control" Target="../activeX/activeX53.xml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ntrol" Target="../activeX/activeX35.xml"/><Relationship Id="rId36" Type="http://schemas.openxmlformats.org/officeDocument/2006/relationships/control" Target="../activeX/activeX40.xml"/><Relationship Id="rId49" Type="http://schemas.openxmlformats.org/officeDocument/2006/relationships/control" Target="../activeX/activeX48.xml"/><Relationship Id="rId57" Type="http://schemas.openxmlformats.org/officeDocument/2006/relationships/image" Target="../media/image46.emf"/><Relationship Id="rId61" Type="http://schemas.openxmlformats.org/officeDocument/2006/relationships/image" Target="../media/image48.emf"/><Relationship Id="rId10" Type="http://schemas.openxmlformats.org/officeDocument/2006/relationships/control" Target="../activeX/activeX26.xml"/><Relationship Id="rId19" Type="http://schemas.openxmlformats.org/officeDocument/2006/relationships/image" Target="../media/image30.emf"/><Relationship Id="rId31" Type="http://schemas.openxmlformats.org/officeDocument/2006/relationships/control" Target="../activeX/activeX37.xml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50.xml"/><Relationship Id="rId60" Type="http://schemas.openxmlformats.org/officeDocument/2006/relationships/control" Target="../activeX/activeX54.xml"/><Relationship Id="rId65" Type="http://schemas.openxmlformats.org/officeDocument/2006/relationships/comments" Target="../comments1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4.emf"/><Relationship Id="rId30" Type="http://schemas.openxmlformats.org/officeDocument/2006/relationships/image" Target="../media/image35.emf"/><Relationship Id="rId35" Type="http://schemas.openxmlformats.org/officeDocument/2006/relationships/image" Target="../media/image37.emf"/><Relationship Id="rId43" Type="http://schemas.openxmlformats.org/officeDocument/2006/relationships/image" Target="../media/image41.emf"/><Relationship Id="rId48" Type="http://schemas.openxmlformats.org/officeDocument/2006/relationships/control" Target="../activeX/activeX47.xml"/><Relationship Id="rId56" Type="http://schemas.openxmlformats.org/officeDocument/2006/relationships/control" Target="../activeX/activeX52.xml"/><Relationship Id="rId64" Type="http://schemas.openxmlformats.org/officeDocument/2006/relationships/ctrlProp" Target="../ctrlProps/ctrlProp25.xml"/><Relationship Id="rId8" Type="http://schemas.openxmlformats.org/officeDocument/2006/relationships/control" Target="../activeX/activeX25.xml"/><Relationship Id="rId51" Type="http://schemas.openxmlformats.org/officeDocument/2006/relationships/image" Target="../media/image43.emf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27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33" Type="http://schemas.openxmlformats.org/officeDocument/2006/relationships/control" Target="../activeX/activeX38.xml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4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E47D-88D5-4129-A731-DE92BBCD3FC2}">
  <sheetPr codeName="Sheet6">
    <pageSetUpPr autoPageBreaks="0"/>
  </sheetPr>
  <dimension ref="B1:AE44"/>
  <sheetViews>
    <sheetView tabSelected="1" zoomScaleNormal="100" workbookViewId="0">
      <selection activeCell="J29" sqref="J29"/>
    </sheetView>
  </sheetViews>
  <sheetFormatPr defaultColWidth="9.140625" defaultRowHeight="15" x14ac:dyDescent="0.25"/>
  <cols>
    <col min="1" max="1" width="3.140625" style="81" customWidth="1"/>
    <col min="2" max="2" width="3.28515625" style="81" customWidth="1"/>
    <col min="3" max="3" width="11.28515625" style="81" customWidth="1"/>
    <col min="4" max="4" width="13.28515625" style="81" customWidth="1"/>
    <col min="5" max="5" width="12.85546875" style="81" customWidth="1"/>
    <col min="6" max="12" width="9.140625" style="81"/>
    <col min="13" max="13" width="9.140625" style="81" customWidth="1"/>
    <col min="14" max="14" width="2" style="81" customWidth="1"/>
    <col min="15" max="15" width="0.42578125" style="81" customWidth="1"/>
    <col min="16" max="16" width="9.140625" style="81" customWidth="1"/>
    <col min="17" max="17" width="22.85546875" style="81" hidden="1" customWidth="1"/>
    <col min="18" max="18" width="9.7109375" style="81" hidden="1" customWidth="1"/>
    <col min="19" max="19" width="21" style="81" hidden="1" customWidth="1"/>
    <col min="20" max="20" width="11.5703125" style="81" hidden="1" customWidth="1"/>
    <col min="21" max="21" width="15" style="81" hidden="1" customWidth="1"/>
    <col min="22" max="22" width="11.7109375" style="81" hidden="1" customWidth="1"/>
    <col min="23" max="23" width="15" style="81" hidden="1" customWidth="1"/>
    <col min="24" max="24" width="9.140625" style="81" hidden="1" customWidth="1"/>
    <col min="25" max="28" width="9.140625" style="81" customWidth="1"/>
    <col min="29" max="16384" width="9.140625" style="81"/>
  </cols>
  <sheetData>
    <row r="1" spans="2:27" x14ac:dyDescent="0.25">
      <c r="Q1" s="82" t="s">
        <v>317</v>
      </c>
      <c r="R1" s="82"/>
      <c r="S1" s="82" t="s">
        <v>317</v>
      </c>
    </row>
    <row r="2" spans="2:27" ht="22.5" customHeight="1" x14ac:dyDescent="0.25">
      <c r="B2" s="79"/>
      <c r="C2" s="80"/>
      <c r="D2" s="80"/>
      <c r="E2" s="91"/>
      <c r="F2" s="91"/>
      <c r="G2" s="91"/>
      <c r="H2" s="91"/>
      <c r="I2" s="91"/>
      <c r="J2" s="91"/>
      <c r="K2" s="91"/>
      <c r="L2" s="91"/>
      <c r="M2" s="91"/>
      <c r="N2" s="253"/>
      <c r="O2" s="267" t="str">
        <f>H5</f>
        <v>Empty</v>
      </c>
      <c r="Q2" s="81" t="b">
        <v>1</v>
      </c>
      <c r="R2" s="82"/>
      <c r="S2" s="81" t="b">
        <v>0</v>
      </c>
    </row>
    <row r="3" spans="2:27" ht="15" customHeight="1" x14ac:dyDescent="0.25">
      <c r="B3" s="97"/>
      <c r="C3" s="128" t="s">
        <v>332</v>
      </c>
      <c r="D3" s="112"/>
      <c r="E3" s="199" t="s">
        <v>369</v>
      </c>
      <c r="F3" s="93"/>
      <c r="G3" s="93"/>
      <c r="H3" s="93"/>
      <c r="I3" s="93"/>
      <c r="J3" s="93"/>
      <c r="K3" s="93"/>
      <c r="L3" s="93"/>
      <c r="M3" s="93"/>
      <c r="N3" s="147"/>
      <c r="O3" s="267" t="str">
        <f>E24</f>
        <v/>
      </c>
      <c r="P3" s="320"/>
      <c r="Q3" s="321" t="e">
        <f>EDATE(DATEVALUE(TEXT(D3&amp;"01","0000-00-00")),12)-1</f>
        <v>#VALUE!</v>
      </c>
      <c r="R3" s="322" t="s">
        <v>219</v>
      </c>
      <c r="S3" s="320"/>
      <c r="T3" s="320"/>
      <c r="U3" s="320"/>
      <c r="V3" s="320"/>
      <c r="W3" s="320"/>
      <c r="X3" s="320"/>
      <c r="Y3" s="320"/>
      <c r="Z3" s="320"/>
      <c r="AA3" s="267"/>
    </row>
    <row r="4" spans="2:27" ht="15" customHeight="1" x14ac:dyDescent="0.25">
      <c r="B4" s="97"/>
      <c r="C4" s="93"/>
      <c r="D4" s="83"/>
      <c r="E4" s="93"/>
      <c r="F4" s="93"/>
      <c r="G4" s="93"/>
      <c r="H4" s="93"/>
      <c r="I4" s="93"/>
      <c r="J4" s="93"/>
      <c r="K4" s="93"/>
      <c r="L4" s="93"/>
      <c r="M4" s="93"/>
      <c r="N4" s="147"/>
      <c r="O4" s="267" t="str">
        <f>E25</f>
        <v/>
      </c>
      <c r="P4" s="320"/>
      <c r="Q4" s="321" t="e">
        <f>EDATE(DATEVALUE(TEXT(D3&amp;"01","0000-00-00")),6)-1</f>
        <v>#VALUE!</v>
      </c>
      <c r="R4" s="322" t="s">
        <v>318</v>
      </c>
      <c r="S4" s="321" t="e">
        <f>EDATE(DATEVALUE(TEXT(D3&amp;"01","0000-00-00")),-6)*1</f>
        <v>#VALUE!</v>
      </c>
      <c r="T4" s="322" t="s">
        <v>319</v>
      </c>
      <c r="U4" s="320"/>
      <c r="V4" s="320"/>
      <c r="W4" s="320"/>
      <c r="X4" s="320"/>
      <c r="Y4" s="320"/>
      <c r="Z4" s="320"/>
      <c r="AA4" s="267"/>
    </row>
    <row r="5" spans="2:27" ht="15" customHeight="1" x14ac:dyDescent="0.25">
      <c r="B5" s="97"/>
      <c r="C5" s="98" t="s">
        <v>197</v>
      </c>
      <c r="D5" s="196" t="s">
        <v>234</v>
      </c>
      <c r="E5" s="196" t="s">
        <v>209</v>
      </c>
      <c r="F5" s="93"/>
      <c r="G5" s="199" t="s">
        <v>208</v>
      </c>
      <c r="H5" s="384" t="str">
        <f>IF(R33="--Misc Notes--",IF(R26&lt;=0,"Empty","TERMINATION STUDENT ACADEMIC PROGRESS. "&amp;IF(R28&lt;=0,"No Return, "&amp;LEFT(Q11,LEN(Q11)-2)&amp;".","Returned "&amp;LEFT(Q11,LEN(Q11)-2)&amp;".")&amp;" Loan Period/Academic Year "&amp;(IF(Q2,TEXT(S10,"MM/DD/YYYY")&amp;"-"&amp;TEXT(Q3,"MM/DD/YYYY"),TEXT(S4,"MM/DD/YYYY")&amp;"-"&amp;TEXT(Q4,"MM/DD/YYYY"))&amp;".")),IFERROR(VLOOKUP(R33,$Q$35:$R$44,2,FALSE),""))</f>
        <v>Empty</v>
      </c>
      <c r="I5" s="385"/>
      <c r="J5" s="385"/>
      <c r="K5" s="385"/>
      <c r="L5" s="386"/>
      <c r="M5" s="93"/>
      <c r="N5" s="147"/>
      <c r="O5" s="267" t="str">
        <f>E27</f>
        <v/>
      </c>
      <c r="P5" s="320"/>
      <c r="Q5" s="322" t="s">
        <v>220</v>
      </c>
      <c r="R5" s="320"/>
      <c r="S5" s="320" t="b">
        <v>1</v>
      </c>
      <c r="T5" s="320"/>
      <c r="U5" s="320"/>
      <c r="V5" s="320"/>
      <c r="W5" s="320"/>
      <c r="X5" s="320"/>
      <c r="Y5" s="320"/>
      <c r="Z5" s="320"/>
      <c r="AA5" s="267"/>
    </row>
    <row r="6" spans="2:27" x14ac:dyDescent="0.25">
      <c r="B6" s="97"/>
      <c r="C6" s="99" t="s">
        <v>210</v>
      </c>
      <c r="D6" s="141"/>
      <c r="E6" s="197"/>
      <c r="F6" s="93"/>
      <c r="G6" s="93"/>
      <c r="H6" s="387"/>
      <c r="I6" s="388"/>
      <c r="J6" s="388"/>
      <c r="K6" s="388"/>
      <c r="L6" s="389"/>
      <c r="M6" s="93"/>
      <c r="N6" s="147"/>
      <c r="Q6" s="86" t="str">
        <f>W24&amp;W25&amp;W18&amp;W19&amp;W20&amp;W21&amp;W23&amp;W22&amp;IF(R27&lt;=0," No Cancel  ",IF(R28&lt;=0," Cancelled  "&amp;S24&amp;S25&amp;S20&amp;S21&amp;S22&amp;S23&amp;S18&amp;S19," Cancelled Future "&amp;U33&amp;U34&amp;U27&amp;U28&amp;U29&amp;U30&amp;U32&amp;U31))</f>
        <v xml:space="preserve"> No Cancel  </v>
      </c>
    </row>
    <row r="7" spans="2:27" x14ac:dyDescent="0.25">
      <c r="B7" s="97"/>
      <c r="C7" s="99" t="s">
        <v>212</v>
      </c>
      <c r="D7" s="227"/>
      <c r="E7" s="197"/>
      <c r="F7" s="93"/>
      <c r="G7" s="126"/>
      <c r="H7" s="387"/>
      <c r="I7" s="388"/>
      <c r="J7" s="388"/>
      <c r="K7" s="388"/>
      <c r="L7" s="389"/>
      <c r="M7" s="93"/>
      <c r="N7" s="147"/>
      <c r="Q7" s="86" t="str">
        <f>U24&amp;U25&amp;U18&amp;U19&amp;U20&amp;U21&amp;U23&amp;U22&amp;IF(R27&lt;=0,"  No Cancel. "," Cancelled "&amp;Q24&amp;Q25&amp;Q18&amp;Q19&amp;Q20&amp;Q21&amp;Q23&amp;Q22)</f>
        <v xml:space="preserve">  No Cancel. </v>
      </c>
      <c r="S7" s="82" t="s">
        <v>308</v>
      </c>
    </row>
    <row r="8" spans="2:27" x14ac:dyDescent="0.25">
      <c r="B8" s="97"/>
      <c r="C8" s="99" t="s">
        <v>201</v>
      </c>
      <c r="D8" s="141"/>
      <c r="E8" s="197"/>
      <c r="F8" s="93"/>
      <c r="G8" s="93"/>
      <c r="H8" s="387"/>
      <c r="I8" s="388"/>
      <c r="J8" s="388"/>
      <c r="K8" s="388"/>
      <c r="L8" s="389"/>
      <c r="M8" s="93"/>
      <c r="N8" s="147"/>
      <c r="Q8" s="86"/>
      <c r="S8" s="150">
        <f>SUM(D6:D11)</f>
        <v>0</v>
      </c>
    </row>
    <row r="9" spans="2:27" x14ac:dyDescent="0.25">
      <c r="B9" s="97"/>
      <c r="C9" s="99" t="s">
        <v>211</v>
      </c>
      <c r="D9" s="197"/>
      <c r="E9" s="197"/>
      <c r="F9" s="93"/>
      <c r="G9" s="93"/>
      <c r="H9" s="387"/>
      <c r="I9" s="388"/>
      <c r="J9" s="388"/>
      <c r="K9" s="388"/>
      <c r="L9" s="389"/>
      <c r="M9" s="93"/>
      <c r="N9" s="147"/>
      <c r="Q9" s="82" t="s">
        <v>218</v>
      </c>
      <c r="S9" s="82" t="s">
        <v>335</v>
      </c>
    </row>
    <row r="10" spans="2:27" x14ac:dyDescent="0.25">
      <c r="B10" s="97"/>
      <c r="C10" s="99" t="s">
        <v>203</v>
      </c>
      <c r="D10" s="197"/>
      <c r="E10" s="197"/>
      <c r="F10" s="93"/>
      <c r="G10" s="93"/>
      <c r="H10" s="390"/>
      <c r="I10" s="391"/>
      <c r="J10" s="391"/>
      <c r="K10" s="391"/>
      <c r="L10" s="392"/>
      <c r="M10" s="93"/>
      <c r="N10" s="147"/>
      <c r="Q10" s="81" t="str">
        <f>IF(Q2,Q7,Q6)</f>
        <v xml:space="preserve">  No Cancel. </v>
      </c>
      <c r="S10" s="178" t="e">
        <f>DATEVALUE(TEXT(D3&amp;"01","0000-00-00"))</f>
        <v>#VALUE!</v>
      </c>
    </row>
    <row r="11" spans="2:27" x14ac:dyDescent="0.25">
      <c r="B11" s="97"/>
      <c r="C11" s="99" t="s">
        <v>204</v>
      </c>
      <c r="D11" s="197"/>
      <c r="E11" s="197"/>
      <c r="F11" s="93"/>
      <c r="G11" s="93"/>
      <c r="H11" s="93"/>
      <c r="I11" s="93"/>
      <c r="J11" s="93"/>
      <c r="K11" s="93"/>
      <c r="L11" s="93"/>
      <c r="M11" s="93"/>
      <c r="N11" s="147"/>
      <c r="Q11" s="81" t="str">
        <f>Q10</f>
        <v xml:space="preserve">  No Cancel. </v>
      </c>
    </row>
    <row r="12" spans="2:27" x14ac:dyDescent="0.25">
      <c r="B12" s="97"/>
      <c r="C12" s="353"/>
      <c r="D12" s="347"/>
      <c r="E12" s="347"/>
      <c r="F12" s="93"/>
      <c r="G12" s="93"/>
      <c r="H12" s="93"/>
      <c r="I12" s="93"/>
      <c r="J12" s="93"/>
      <c r="K12" s="93"/>
      <c r="L12" s="93"/>
      <c r="M12" s="93"/>
      <c r="N12" s="147"/>
      <c r="Q12" s="221" t="s">
        <v>368</v>
      </c>
      <c r="R12" s="223">
        <v>2122</v>
      </c>
      <c r="S12" s="357" t="s">
        <v>637</v>
      </c>
      <c r="T12" s="201">
        <v>4.2279999999999998E-2</v>
      </c>
    </row>
    <row r="13" spans="2:27" x14ac:dyDescent="0.25">
      <c r="B13" s="146"/>
      <c r="C13" s="349"/>
      <c r="D13" s="346"/>
      <c r="E13" s="346"/>
      <c r="F13" s="220"/>
      <c r="G13" s="220"/>
      <c r="H13" s="220"/>
      <c r="I13" s="220"/>
      <c r="J13" s="220"/>
      <c r="K13" s="220"/>
      <c r="L13" s="220"/>
      <c r="M13" s="220"/>
      <c r="N13" s="147"/>
      <c r="Q13" s="221" t="s">
        <v>224</v>
      </c>
      <c r="R13" s="222">
        <v>2223</v>
      </c>
      <c r="S13" s="200" t="s">
        <v>364</v>
      </c>
      <c r="T13" s="201">
        <v>1.057E-2</v>
      </c>
    </row>
    <row r="14" spans="2:27" x14ac:dyDescent="0.25">
      <c r="B14" s="146"/>
      <c r="C14" s="234" t="s">
        <v>359</v>
      </c>
      <c r="D14" s="234"/>
      <c r="E14" s="234"/>
      <c r="F14" s="234"/>
      <c r="G14" s="234"/>
      <c r="H14" s="234" t="s">
        <v>363</v>
      </c>
      <c r="I14" s="241"/>
      <c r="J14" s="241"/>
      <c r="K14" s="241"/>
      <c r="L14" s="241"/>
      <c r="M14" s="241"/>
      <c r="N14" s="147"/>
      <c r="Q14" s="221" t="s">
        <v>225</v>
      </c>
      <c r="R14" s="222">
        <v>2324</v>
      </c>
      <c r="S14" s="212" t="s">
        <v>642</v>
      </c>
      <c r="T14" s="372">
        <f>100%-T13</f>
        <v>0.98943000000000003</v>
      </c>
      <c r="U14" s="212" t="s">
        <v>642</v>
      </c>
      <c r="V14" s="372">
        <f>100%-T12</f>
        <v>0.95772000000000002</v>
      </c>
    </row>
    <row r="15" spans="2:27" x14ac:dyDescent="0.25">
      <c r="B15" s="240"/>
      <c r="C15" s="375"/>
      <c r="D15" s="376"/>
      <c r="E15" s="376"/>
      <c r="F15" s="377"/>
      <c r="G15" s="234"/>
      <c r="H15" s="394" t="s">
        <v>360</v>
      </c>
      <c r="I15" s="394"/>
      <c r="J15" s="394" t="str">
        <f>IF(OR(C12="Grad Plus",C13="Grad Plus"),"Unsubsidized/Grad Plus",IF(OR(C12="Parent Plus",C13="Parent Plus"),"Unsubsidized/Parent Plus","Unsubsidized Loan"))</f>
        <v>Unsubsidized Loan</v>
      </c>
      <c r="K15" s="394"/>
      <c r="L15" s="394" t="str">
        <f>IF(ISBLANK(D9),IF(ISBLANK(D8),"Pell Grant","Pell Grant/FSEOG"),IF(ISBLANK(D8),"Pell Grant/Teach","Pell Grant/FSEOG/Teach"))</f>
        <v>Pell Grant</v>
      </c>
      <c r="M15" s="394"/>
      <c r="N15" s="147"/>
      <c r="Q15" s="108" t="s">
        <v>377</v>
      </c>
      <c r="R15" s="107" t="s">
        <v>624</v>
      </c>
      <c r="S15" s="212" t="s">
        <v>373</v>
      </c>
      <c r="T15" s="198">
        <v>2324</v>
      </c>
    </row>
    <row r="16" spans="2:27" x14ac:dyDescent="0.25">
      <c r="B16" s="240"/>
      <c r="C16" s="378"/>
      <c r="D16" s="379"/>
      <c r="E16" s="379"/>
      <c r="F16" s="380"/>
      <c r="G16" s="234"/>
      <c r="H16" s="393">
        <f>ROUNDDOWN(PRODUCT(D11/T14),0)</f>
        <v>0</v>
      </c>
      <c r="I16" s="395"/>
      <c r="J16" s="393" t="str">
        <f>IF(OR(C12="Grad Plus",C13="Grad Plus"),TEXT(ROUNDDOWN(PRODUCT(D10/T14),0),"$#,##0")&amp;"/"&amp;TEXT(ROUNDDOWN(PRODUCT(D12/V14),0),"$#,##0"),IF(OR(C12="Parent Plus",C13="Parent Plus"),TEXT(ROUNDDOWN(PRODUCT(D10/T14),0),"$#,##0")&amp;"/"&amp;TEXT(ROUNDDOWN(PRODUCT(D12/V14),0),"$#,##0"),TEXT(ROUNDDOWN(PRODUCT(D10/T14),0),"$#,##0")))</f>
        <v>$0</v>
      </c>
      <c r="K16" s="395"/>
      <c r="L16" s="393" t="str">
        <f>IF(ISBLANK(D9),IF(ISBLANK(D8),TEXT(D6,"$#,##0"),TEXT(D6,"$#,##0")&amp;"/"&amp;TEXT(D8,"$#,##0")),IF(ISBLANK(D8),TEXT(D6,"$#,##0")&amp;"/"&amp;TEXT(D9,"$#,##0"),TEXT(D6,"$#,##0")&amp;"/"&amp;TEXT(D8,"$#,##0")&amp;"/"&amp;TEXT(D9,"$#,##0")))</f>
        <v>$0</v>
      </c>
      <c r="M16" s="393"/>
      <c r="N16" s="147"/>
      <c r="Q16" s="82" t="s">
        <v>216</v>
      </c>
      <c r="S16" s="82" t="s">
        <v>217</v>
      </c>
      <c r="U16" s="203" t="s">
        <v>236</v>
      </c>
      <c r="V16" s="202"/>
      <c r="W16" s="203" t="s">
        <v>238</v>
      </c>
    </row>
    <row r="17" spans="2:31" x14ac:dyDescent="0.25">
      <c r="B17" s="240"/>
      <c r="C17" s="378"/>
      <c r="D17" s="379"/>
      <c r="E17" s="379"/>
      <c r="F17" s="380"/>
      <c r="G17" s="234"/>
      <c r="H17" s="241"/>
      <c r="I17" s="241"/>
      <c r="J17" s="241"/>
      <c r="K17" s="241"/>
      <c r="L17" s="241"/>
      <c r="M17" s="241"/>
      <c r="N17" s="147"/>
      <c r="Q17" s="89" t="s">
        <v>365</v>
      </c>
      <c r="S17" s="89" t="s">
        <v>366</v>
      </c>
      <c r="U17" s="204" t="s">
        <v>249</v>
      </c>
      <c r="V17" s="202"/>
      <c r="W17" s="204" t="s">
        <v>248</v>
      </c>
    </row>
    <row r="18" spans="2:31" x14ac:dyDescent="0.25">
      <c r="B18" s="240"/>
      <c r="C18" s="378"/>
      <c r="D18" s="379"/>
      <c r="E18" s="379"/>
      <c r="F18" s="380"/>
      <c r="G18" s="234"/>
      <c r="H18" s="234" t="s">
        <v>362</v>
      </c>
      <c r="I18" s="241"/>
      <c r="J18" s="241"/>
      <c r="K18" s="241"/>
      <c r="L18" s="241"/>
      <c r="M18" s="241"/>
      <c r="N18" s="147"/>
      <c r="Q18" s="90" t="str">
        <f>IF(R28&lt;=0,IF(ISBLANK(E11),"","Gross "&amp;TEXT(E11,"$#,##0")&amp;" Sub, "),IF(ISBLANK(E11),"","Gross "&amp;TEXT(E11,"$#,##0")&amp;" Sub2, "))</f>
        <v/>
      </c>
      <c r="S18" s="90" t="str">
        <f>IF(ISBLANK(E11),"","Gross "&amp;TEXT(E11,"$#,##0")&amp;" Sub2, ")</f>
        <v/>
      </c>
      <c r="U18" s="205" t="str">
        <f>IF(ISBLANK(D6),"","$"&amp;D6&amp;" "&amp;R15&amp;" Term1 Pell, ")</f>
        <v/>
      </c>
      <c r="V18" s="202"/>
      <c r="W18" s="205" t="str">
        <f>IF(ISBLANK(D6),"","$"&amp;D6&amp;" "&amp;R15&amp;" Term2 Pell, ")</f>
        <v/>
      </c>
    </row>
    <row r="19" spans="2:31" x14ac:dyDescent="0.25">
      <c r="B19" s="240"/>
      <c r="C19" s="378"/>
      <c r="D19" s="379"/>
      <c r="E19" s="379"/>
      <c r="F19" s="380"/>
      <c r="G19" s="234"/>
      <c r="H19" s="394" t="s">
        <v>360</v>
      </c>
      <c r="I19" s="394"/>
      <c r="J19" s="394" t="s">
        <v>361</v>
      </c>
      <c r="K19" s="394"/>
      <c r="L19" s="394" t="str">
        <f>IF(ISBLANK(E9),IF(ISBLANK(E8),"Pell Grant","Pell Grant/FSEOG"),IF(ISBLANK(E8),"Pell Grant/Teach","Pell Grant/FSEOG/Teach"))</f>
        <v>Pell Grant</v>
      </c>
      <c r="M19" s="394"/>
      <c r="N19" s="147"/>
      <c r="Q19" s="90" t="str">
        <f>IF(R28&lt;=0,IF(ISBLANK(E10),"","Gross "&amp;TEXT(E10,"$#,##0")&amp;" Unsub, "),IF(ISBLANK(E10),"","Gross "&amp;TEXT(E10,"$#,##0")&amp;" Unsub2, "))</f>
        <v/>
      </c>
      <c r="S19" s="90" t="str">
        <f>IF(ISBLANK(E10),"","Gross "&amp;TEXT(E10,"$#,##0")&amp;" Unsub2, ")</f>
        <v/>
      </c>
      <c r="U19" s="206" t="str">
        <f>IF(ISBLANK(D7),"","$"&amp;D7&amp;" EST "&amp;R15&amp;" Term1 Pell, ")</f>
        <v/>
      </c>
      <c r="V19" s="202"/>
      <c r="W19" s="206" t="str">
        <f>IF(ISBLANK(D7),"","$"&amp;D7&amp;" EST "&amp;T15&amp;" Term2 Pell, ")</f>
        <v/>
      </c>
    </row>
    <row r="20" spans="2:31" x14ac:dyDescent="0.25">
      <c r="B20" s="240"/>
      <c r="C20" s="378"/>
      <c r="D20" s="379"/>
      <c r="E20" s="379"/>
      <c r="F20" s="380"/>
      <c r="G20" s="234"/>
      <c r="H20" s="393">
        <f>E11</f>
        <v>0</v>
      </c>
      <c r="I20" s="395"/>
      <c r="J20" s="393">
        <f>E10</f>
        <v>0</v>
      </c>
      <c r="K20" s="395"/>
      <c r="L20" s="393" t="str">
        <f>IF(ISBLANK(E9),IF(ISBLANK(E8),TEXT(E6,"$#,##0"),TEXT(E6,"$#,##0")&amp;"/"&amp;TEXT(E8,"$#,##0")),IF(ISBLANK(E8),TEXT(E6,"$#,##0")&amp;"/"&amp;TEXT(E9,"$#,##0"),TEXT(E6,"$#,##0")&amp;"/"&amp;TEXT(E8,"$#,##0")&amp;"/"&amp;TEXT(E9,"$#,##0")))</f>
        <v>$0</v>
      </c>
      <c r="M20" s="393"/>
      <c r="N20" s="147"/>
      <c r="Q20" s="90" t="str">
        <f>IF(R28&lt;=0,IF(ISBLANK(E6),"",TEXT(E6,"$#,##0")&amp;" "&amp;R13&amp;" Pell, "),IF(ISBLANK(E6),"",TEXT(E6,"$#,##0")&amp;" "&amp;R15&amp;" Term2 Pell, "))</f>
        <v/>
      </c>
      <c r="S20" s="90" t="str">
        <f>IF(ISBLANK(E6),"",TEXT(E6,"$#,##0")&amp;" "&amp;R15&amp;" Term2 Pell, ")</f>
        <v/>
      </c>
      <c r="U20" s="206" t="str">
        <f>IF(ISBLANK(D8),"","$"&amp;D8&amp;" "&amp;R15&amp;" Term1 FSEOG, ")</f>
        <v/>
      </c>
      <c r="V20" s="202"/>
      <c r="W20" s="206" t="str">
        <f>IF(ISBLANK(D8),"","$"&amp;D8&amp;" "&amp;R15&amp;" Term2 FSEOG, ")</f>
        <v/>
      </c>
    </row>
    <row r="21" spans="2:31" x14ac:dyDescent="0.25">
      <c r="B21" s="146"/>
      <c r="C21" s="378"/>
      <c r="D21" s="379"/>
      <c r="E21" s="379"/>
      <c r="F21" s="380"/>
      <c r="G21" s="234"/>
      <c r="H21" s="234"/>
      <c r="I21" s="234"/>
      <c r="J21" s="234"/>
      <c r="K21" s="234"/>
      <c r="L21" s="234"/>
      <c r="M21" s="234"/>
      <c r="N21" s="147"/>
      <c r="Q21" s="90" t="str">
        <f>IF(ISBLANK(E7),"",TEXT(E7,"$#,##0")&amp;" "&amp;T15&amp;" Est Pell, ")</f>
        <v/>
      </c>
      <c r="S21" s="90" t="str">
        <f>IF(ISBLANK(E7),"",TEXT(E7,"$#,##0")&amp;" "&amp;T15&amp;" Est Pell, ")</f>
        <v/>
      </c>
      <c r="U21" s="206" t="str">
        <f>IF(ISBLANK(D9),"","$"&amp;D9&amp;" "&amp;R15&amp;" Term1 Teach, ")</f>
        <v/>
      </c>
      <c r="V21" s="202"/>
      <c r="W21" s="206" t="str">
        <f>IF(ISBLANK(D9),"","$"&amp;D9&amp;" "&amp;R15&amp;" Term2 Teach, ")</f>
        <v/>
      </c>
    </row>
    <row r="22" spans="2:31" x14ac:dyDescent="0.25">
      <c r="B22" s="146"/>
      <c r="C22" s="381"/>
      <c r="D22" s="382"/>
      <c r="E22" s="382"/>
      <c r="F22" s="383"/>
      <c r="G22" s="234"/>
      <c r="H22" s="234"/>
      <c r="I22" s="234"/>
      <c r="J22" s="235"/>
      <c r="K22" s="234"/>
      <c r="L22" s="234"/>
      <c r="M22" s="234"/>
      <c r="N22" s="147"/>
      <c r="Q22" s="90" t="str">
        <f>IF(R28&lt;=0,IF(ISBLANK(E9),"",TEXT(E9,"$#,##0")&amp;" "&amp;R15&amp;" Teach, "),IF(ISBLANK(E9),"",TEXT(E9,"$#,##0")&amp;" "&amp;R15&amp;" Term2 Teach, "))</f>
        <v/>
      </c>
      <c r="S22" s="90" t="str">
        <f>IF(ISBLANK(E9),"",TEXT(E9,"$#,##0")&amp;" "&amp;R15&amp;" Term2 Teach, ")</f>
        <v/>
      </c>
      <c r="U22" s="206" t="str">
        <f>IF(ISBLANK(D10),"","Net $"&amp;D10&amp;" Unsub1, ")</f>
        <v/>
      </c>
      <c r="V22" s="202"/>
      <c r="W22" s="206" t="str">
        <f>IF(ISBLANK(D10),"","Net $"&amp;D10&amp;" Unsub2, ")</f>
        <v/>
      </c>
    </row>
    <row r="23" spans="2:31" x14ac:dyDescent="0.25">
      <c r="B23" s="146"/>
      <c r="C23" s="235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147"/>
      <c r="Q23" s="109" t="str">
        <f>IF(R28&lt;=0,IF(ISBLANK(E8),"",TEXT(E8,"$#,##0")&amp;" "&amp;$R$15&amp;" FSEOG, "),IF(ISBLANK(E8),"",TEXT(E8,"$#,##0")&amp;" "&amp;$R$15&amp;" Term2 FSEOG, "))</f>
        <v/>
      </c>
      <c r="S23" s="109" t="str">
        <f>IF(ISBLANK(E8),"",TEXT(E8,"$#,##0")&amp;" "&amp;R15&amp;" Term2 FSEOG, ")</f>
        <v/>
      </c>
      <c r="U23" s="215" t="str">
        <f>IF(ISBLANK(D11),"","Net $"&amp;D11&amp;" Sub1, ")</f>
        <v/>
      </c>
      <c r="V23" s="202"/>
      <c r="W23" s="215" t="str">
        <f>IF(ISBLANK(D11),"","Net $"&amp;D11&amp;" Sub2, ")</f>
        <v/>
      </c>
      <c r="AE23" s="317"/>
    </row>
    <row r="24" spans="2:31" x14ac:dyDescent="0.25">
      <c r="B24" s="146"/>
      <c r="C24" s="236"/>
      <c r="D24" s="318" t="s">
        <v>421</v>
      </c>
      <c r="E24" s="237" t="str">
        <f>IF(Q29="--Create a Case--","",IF(Q29="SAP Status Correction","SAP Status Correction Inquiry","150% TM SAP Review"))</f>
        <v/>
      </c>
      <c r="F24" s="234"/>
      <c r="G24" s="234"/>
      <c r="H24" s="234"/>
      <c r="I24" s="234"/>
      <c r="J24" s="234"/>
      <c r="K24" s="234"/>
      <c r="L24" s="234"/>
      <c r="M24" s="234"/>
      <c r="N24" s="147"/>
      <c r="Q24" s="109" t="str">
        <f>IF(R28&lt;=0,IF(ISBLANK(E12),"",TEXT(E12,"$#,##0")&amp;" "&amp;$R$15&amp;" "&amp;C12&amp;", "),IF(ISBLANK(E12),"",TEXT(E12,"$#,##0")&amp;" "&amp;$R$15&amp;" Term2 "&amp;C12&amp;", "))</f>
        <v/>
      </c>
      <c r="S24" s="109" t="str">
        <f>IF(ISBLANK(E12),"",TEXT(E12,"$#,##0")&amp;" "&amp;R15&amp;" Term2 "&amp;C12&amp;", ")</f>
        <v/>
      </c>
      <c r="U24" s="215" t="str">
        <f>IF(ISBLANK(D12),"","Net $"&amp;D12&amp;" "&amp;R15&amp;" "&amp;C12&amp;", ")</f>
        <v/>
      </c>
      <c r="W24" s="215" t="str">
        <f>IF(ISBLANK(D12),"","Net $"&amp;D12&amp;" "&amp;R15&amp;" "&amp;C12&amp;", ")</f>
        <v/>
      </c>
    </row>
    <row r="25" spans="2:31" x14ac:dyDescent="0.25">
      <c r="B25" s="146"/>
      <c r="C25" s="238"/>
      <c r="D25" s="236" t="s">
        <v>490</v>
      </c>
      <c r="E25" s="374" t="str">
        <f>IF(Q29="--Create a Case--","",IF(Q29="SAP Status Correction","Students 202112 SAP% is 64.86, Please review and correct SAP status to WR if possible. Thank you!","Students 150% Status is showing as completed 160%. Please Review and update SAP status if needed. Thank you!"))</f>
        <v/>
      </c>
      <c r="F25" s="374"/>
      <c r="G25" s="374"/>
      <c r="H25" s="374"/>
      <c r="I25" s="374"/>
      <c r="J25" s="374"/>
      <c r="K25" s="374"/>
      <c r="L25" s="374"/>
      <c r="M25" s="234"/>
      <c r="N25" s="147"/>
      <c r="Q25" s="109" t="str">
        <f>IF(R28&lt;=0,IF(ISBLANK(E13),"",TEXT(E13,"$#,##0")&amp;" "&amp;$R$15&amp;" "&amp;C13&amp;", "),IF(ISBLANK(E13),"",TEXT(E13,"$#,##0")&amp;" "&amp;$R$15&amp;" Term2 "&amp;C13&amp;", "))</f>
        <v/>
      </c>
      <c r="R25" s="82"/>
      <c r="S25" s="109" t="str">
        <f>IF(ISBLANK(E11),"",TEXT(E11,"$#,##0")&amp;" "&amp;R15&amp;" Term2 "&amp;C13&amp;", ")</f>
        <v/>
      </c>
      <c r="U25" s="215" t="str">
        <f>IF(ISBLANK(D13),"","Net $"&amp;D13&amp;" "&amp;R15&amp;" "&amp;C13&amp;", ")</f>
        <v/>
      </c>
      <c r="W25" s="215" t="str">
        <f>IF(ISBLANK(D13),"","Net $"&amp;D13&amp;" "&amp;R15&amp;" "&amp;C13&amp;", ")</f>
        <v/>
      </c>
    </row>
    <row r="26" spans="2:31" x14ac:dyDescent="0.25">
      <c r="B26" s="146"/>
      <c r="C26" s="236"/>
      <c r="D26" s="236"/>
      <c r="E26" s="374"/>
      <c r="F26" s="374"/>
      <c r="G26" s="374"/>
      <c r="H26" s="374"/>
      <c r="I26" s="374"/>
      <c r="J26" s="374"/>
      <c r="K26" s="374"/>
      <c r="L26" s="374"/>
      <c r="M26" s="234"/>
      <c r="N26" s="147"/>
      <c r="Q26" s="81" t="s">
        <v>232</v>
      </c>
      <c r="R26" s="218">
        <f>SUM(D3:E13)</f>
        <v>0</v>
      </c>
      <c r="S26" s="212" t="s">
        <v>233</v>
      </c>
      <c r="U26" s="213" t="s">
        <v>349</v>
      </c>
      <c r="V26" s="211" t="s">
        <v>348</v>
      </c>
    </row>
    <row r="27" spans="2:31" x14ac:dyDescent="0.25">
      <c r="B27" s="144"/>
      <c r="C27" s="239"/>
      <c r="D27" s="319" t="s">
        <v>489</v>
      </c>
      <c r="E27" s="95" t="str">
        <f>IF(Q29="--Create a Case--","","FA SAP Appeals")</f>
        <v/>
      </c>
      <c r="F27" s="88"/>
      <c r="G27" s="88"/>
      <c r="H27" s="88"/>
      <c r="I27" s="88"/>
      <c r="J27" s="88"/>
      <c r="K27" s="88"/>
      <c r="L27" s="88"/>
      <c r="M27" s="88"/>
      <c r="N27" s="145"/>
      <c r="Q27" s="207" t="s">
        <v>346</v>
      </c>
      <c r="R27" s="209">
        <f>SUM(E6:E13)</f>
        <v>0</v>
      </c>
      <c r="U27" s="214" t="str">
        <f>IF(ISBLANK($E$6),"","$"&amp;$E$6&amp;" "&amp;$T$15&amp;" Pell, ")</f>
        <v/>
      </c>
    </row>
    <row r="28" spans="2:31" x14ac:dyDescent="0.25">
      <c r="B28" s="104"/>
      <c r="C28" s="230"/>
      <c r="D28" s="104"/>
      <c r="E28" s="104"/>
      <c r="F28" s="104"/>
      <c r="G28" s="104"/>
      <c r="H28" s="104"/>
      <c r="I28" s="104"/>
      <c r="J28" s="104"/>
      <c r="K28" s="104"/>
      <c r="L28" s="104"/>
      <c r="Q28" s="208" t="s">
        <v>347</v>
      </c>
      <c r="R28" s="209">
        <f>SUM(D6:D13)</f>
        <v>0</v>
      </c>
      <c r="U28" s="215" t="str">
        <f>IF(ISBLANK($E$7),"","$"&amp;$E$7&amp;" "&amp;$T$15&amp;" Est Pell, ")</f>
        <v/>
      </c>
    </row>
    <row r="29" spans="2:31" x14ac:dyDescent="0.25">
      <c r="B29" s="104"/>
      <c r="C29" s="230"/>
      <c r="D29" s="104"/>
      <c r="E29" s="104"/>
      <c r="F29" s="104"/>
      <c r="G29" s="104"/>
      <c r="H29" s="104"/>
      <c r="I29" s="104"/>
      <c r="J29" s="104"/>
      <c r="K29" s="104"/>
      <c r="L29" s="104"/>
      <c r="Q29" s="81" t="s">
        <v>640</v>
      </c>
      <c r="U29" s="215" t="str">
        <f>IF(ISBLANK($E$8),"","$"&amp;$E$8&amp;" "&amp;$T$15&amp;" FSEOG, ")</f>
        <v/>
      </c>
    </row>
    <row r="30" spans="2:31" x14ac:dyDescent="0.25">
      <c r="B30" s="104"/>
      <c r="C30" s="230"/>
      <c r="D30" s="104"/>
      <c r="E30" s="104"/>
      <c r="F30" s="104"/>
      <c r="G30" s="104"/>
      <c r="H30" s="104"/>
      <c r="I30" s="104"/>
      <c r="J30" s="104"/>
      <c r="K30" s="104"/>
      <c r="L30" s="104"/>
      <c r="Q30" s="81" t="s">
        <v>403</v>
      </c>
      <c r="U30" s="215" t="str">
        <f>IF(ISBLANK($E$9),"","$"&amp;$E$9&amp;" "&amp;$T$15&amp;" Teach, ")</f>
        <v/>
      </c>
    </row>
    <row r="31" spans="2:31" x14ac:dyDescent="0.25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Q31" s="149" t="s">
        <v>402</v>
      </c>
      <c r="S31" s="176"/>
      <c r="U31" s="215" t="str">
        <f>IF(ISBLANK($E$10),"","Gross $"&amp;$E$10&amp;" Unsub, ")</f>
        <v/>
      </c>
    </row>
    <row r="32" spans="2:31" x14ac:dyDescent="0.25">
      <c r="Q32" s="118"/>
      <c r="R32" s="102"/>
      <c r="S32" s="178"/>
      <c r="U32" s="215" t="str">
        <f>IF(ISBLANK($E$11),"","Gross $"&amp;$E$11&amp;" Sub, ")</f>
        <v/>
      </c>
    </row>
    <row r="33" spans="17:21" x14ac:dyDescent="0.25">
      <c r="Q33" s="229" t="s">
        <v>382</v>
      </c>
      <c r="R33" s="81" t="s">
        <v>416</v>
      </c>
      <c r="U33" s="215" t="str">
        <f>IF(ISBLANK($E$12),"","Gross $"&amp;$E$12&amp;" "&amp;T15&amp;" "&amp;C12&amp;", ")</f>
        <v/>
      </c>
    </row>
    <row r="34" spans="17:21" x14ac:dyDescent="0.25">
      <c r="U34" s="215" t="str">
        <f>IF(ISBLANK($E$13),"","Gross $"&amp;$E$13&amp;" "&amp;T15&amp;" "&amp;C13&amp;", ")</f>
        <v/>
      </c>
    </row>
    <row r="35" spans="17:21" x14ac:dyDescent="0.25">
      <c r="Q35" s="222" t="s">
        <v>383</v>
      </c>
      <c r="R35" s="228" t="s">
        <v>384</v>
      </c>
    </row>
    <row r="36" spans="17:21" x14ac:dyDescent="0.25">
      <c r="Q36" s="222" t="s">
        <v>385</v>
      </c>
      <c r="R36" s="228" t="s">
        <v>387</v>
      </c>
    </row>
    <row r="37" spans="17:21" x14ac:dyDescent="0.25">
      <c r="Q37" s="222" t="s">
        <v>386</v>
      </c>
      <c r="R37" s="228" t="s">
        <v>388</v>
      </c>
    </row>
    <row r="38" spans="17:21" x14ac:dyDescent="0.25">
      <c r="Q38" s="222" t="s">
        <v>394</v>
      </c>
      <c r="R38" s="228" t="s">
        <v>395</v>
      </c>
    </row>
    <row r="39" spans="17:21" x14ac:dyDescent="0.25">
      <c r="Q39" s="222" t="s">
        <v>401</v>
      </c>
      <c r="R39" s="228" t="s">
        <v>396</v>
      </c>
    </row>
    <row r="40" spans="17:21" x14ac:dyDescent="0.25">
      <c r="Q40" s="222" t="s">
        <v>389</v>
      </c>
      <c r="R40" s="228" t="s">
        <v>397</v>
      </c>
    </row>
    <row r="41" spans="17:21" x14ac:dyDescent="0.25">
      <c r="Q41" s="222" t="s">
        <v>390</v>
      </c>
      <c r="R41" s="228" t="s">
        <v>398</v>
      </c>
    </row>
    <row r="42" spans="17:21" x14ac:dyDescent="0.25">
      <c r="Q42" s="222" t="s">
        <v>391</v>
      </c>
      <c r="R42" s="228" t="s">
        <v>399</v>
      </c>
    </row>
    <row r="43" spans="17:21" x14ac:dyDescent="0.25">
      <c r="Q43" s="222" t="s">
        <v>392</v>
      </c>
      <c r="R43" s="228" t="s">
        <v>400</v>
      </c>
    </row>
    <row r="44" spans="17:21" x14ac:dyDescent="0.25">
      <c r="Q44" s="222" t="s">
        <v>393</v>
      </c>
      <c r="R44" s="228" t="str">
        <f>IF(ISBLANK(D3),"**Please Enter Term Code**","TERMINATION STUDENT ACADEMIC PROGRESS. "&amp;IF(R28&lt;=0,"No Return, "&amp;LEFT(Q11,LEN(Q11)-2)&amp;".","Returned "&amp;LEFT(Q11,LEN(Q11)-2)&amp;".")&amp;" Loan Period/Academic Year "&amp;(IF(Q2,TEXT(S10,"MM/DD/YYYY")&amp;"-"&amp;TEXT(Q3,"MM/DD/YYYY"),TEXT(S4,"MM/DD/YYYY")&amp;"-"&amp;TEXT(Q4,"MM/DD/YYYY"))&amp;".")&amp;"Student is TM due to exceeding the 150% SAP Rule.")</f>
        <v>**Please Enter Term Code**</v>
      </c>
    </row>
  </sheetData>
  <sheetProtection sheet="1" objects="1" scenarios="1"/>
  <mergeCells count="15">
    <mergeCell ref="E25:L26"/>
    <mergeCell ref="C15:F22"/>
    <mergeCell ref="H5:L10"/>
    <mergeCell ref="L20:M20"/>
    <mergeCell ref="H15:I15"/>
    <mergeCell ref="J15:K15"/>
    <mergeCell ref="L15:M15"/>
    <mergeCell ref="H16:I16"/>
    <mergeCell ref="J16:K16"/>
    <mergeCell ref="L16:M16"/>
    <mergeCell ref="H19:I19"/>
    <mergeCell ref="J19:K19"/>
    <mergeCell ref="L19:M19"/>
    <mergeCell ref="H20:I20"/>
    <mergeCell ref="J20:K20"/>
  </mergeCells>
  <dataValidations count="3">
    <dataValidation allowBlank="1" showInputMessage="1" showErrorMessage="1" prompt="yyyymm" sqref="D3" xr:uid="{03731135-5775-4713-B64C-668C2CBA9C23}"/>
    <dataValidation allowBlank="1" showInputMessage="1" showErrorMessage="1" prompt="ex. 2122" sqref="R13" xr:uid="{079DEF2F-4111-432D-A3B6-92BAF5F01B86}"/>
    <dataValidation allowBlank="1" showInputMessage="1" showErrorMessage="1" prompt="Other" sqref="C12:C13" xr:uid="{B3140614-C270-4C0B-A8B6-9A291262D07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04" r:id="rId4" name="CreateCase">
          <controlPr defaultSize="0" autoLine="0" autoPict="0" linkedCell="Q29" listFillRange="Q30:Q31" r:id="rId5">
            <anchor moveWithCells="1">
              <from>
                <xdr:col>10</xdr:col>
                <xdr:colOff>85725</xdr:colOff>
                <xdr:row>20</xdr:row>
                <xdr:rowOff>123825</xdr:rowOff>
              </from>
              <to>
                <xdr:col>12</xdr:col>
                <xdr:colOff>561975</xdr:colOff>
                <xdr:row>22</xdr:row>
                <xdr:rowOff>28575</xdr:rowOff>
              </to>
            </anchor>
          </controlPr>
        </control>
      </mc:Choice>
      <mc:Fallback>
        <control shapeId="8204" r:id="rId4" name="CreateCase"/>
      </mc:Fallback>
    </mc:AlternateContent>
    <mc:AlternateContent xmlns:mc="http://schemas.openxmlformats.org/markup-compatibility/2006">
      <mc:Choice Requires="x14">
        <control shapeId="8199" r:id="rId6" name="ComboBox1">
          <controlPr defaultSize="0" autoLine="0" linkedCell="R15" listFillRange="R12:R14" r:id="rId7">
            <anchor moveWithCells="1">
              <from>
                <xdr:col>5</xdr:col>
                <xdr:colOff>47625</xdr:colOff>
                <xdr:row>1</xdr:row>
                <xdr:rowOff>228600</xdr:rowOff>
              </from>
              <to>
                <xdr:col>6</xdr:col>
                <xdr:colOff>104775</xdr:colOff>
                <xdr:row>3</xdr:row>
                <xdr:rowOff>9525</xdr:rowOff>
              </to>
            </anchor>
          </controlPr>
        </control>
      </mc:Choice>
      <mc:Fallback>
        <control shapeId="8199" r:id="rId6" name="ComboBox1"/>
      </mc:Fallback>
    </mc:AlternateContent>
    <mc:AlternateContent xmlns:mc="http://schemas.openxmlformats.org/markup-compatibility/2006">
      <mc:Choice Requires="x14">
        <control shapeId="8198" r:id="rId8" name="Term2">
          <controlPr defaultSize="0" autoLine="0" autoPict="0" linkedCell="S2" r:id="rId9">
            <anchor moveWithCells="1">
              <from>
                <xdr:col>3</xdr:col>
                <xdr:colOff>57150</xdr:colOff>
                <xdr:row>1</xdr:row>
                <xdr:rowOff>47625</xdr:rowOff>
              </from>
              <to>
                <xdr:col>4</xdr:col>
                <xdr:colOff>47625</xdr:colOff>
                <xdr:row>1</xdr:row>
                <xdr:rowOff>266700</xdr:rowOff>
              </to>
            </anchor>
          </controlPr>
        </control>
      </mc:Choice>
      <mc:Fallback>
        <control shapeId="8198" r:id="rId8" name="Term2"/>
      </mc:Fallback>
    </mc:AlternateContent>
    <mc:AlternateContent xmlns:mc="http://schemas.openxmlformats.org/markup-compatibility/2006">
      <mc:Choice Requires="x14">
        <control shapeId="8197" r:id="rId10" name="Term1">
          <controlPr defaultSize="0" autoLine="0" autoPict="0" linkedCell="Q2" r:id="rId11">
            <anchor moveWithCells="1">
              <from>
                <xdr:col>2</xdr:col>
                <xdr:colOff>0</xdr:colOff>
                <xdr:row>1</xdr:row>
                <xdr:rowOff>47625</xdr:rowOff>
              </from>
              <to>
                <xdr:col>2</xdr:col>
                <xdr:colOff>733425</xdr:colOff>
                <xdr:row>1</xdr:row>
                <xdr:rowOff>266700</xdr:rowOff>
              </to>
            </anchor>
          </controlPr>
        </control>
      </mc:Choice>
      <mc:Fallback>
        <control shapeId="8197" r:id="rId10" name="Term1"/>
      </mc:Fallback>
    </mc:AlternateContent>
    <mc:AlternateContent xmlns:mc="http://schemas.openxmlformats.org/markup-compatibility/2006">
      <mc:Choice Requires="x14">
        <control shapeId="8200" r:id="rId12" name="MiscNotes">
          <controlPr defaultSize="0" autoLine="0" autoPict="0" linkedCell="R33" listFillRange="Q35:Q44" r:id="rId13">
            <anchor moveWithCells="1">
              <from>
                <xdr:col>7</xdr:col>
                <xdr:colOff>28575</xdr:colOff>
                <xdr:row>1</xdr:row>
                <xdr:rowOff>180975</xdr:rowOff>
              </from>
              <to>
                <xdr:col>11</xdr:col>
                <xdr:colOff>466725</xdr:colOff>
                <xdr:row>2</xdr:row>
                <xdr:rowOff>171450</xdr:rowOff>
              </to>
            </anchor>
          </controlPr>
        </control>
      </mc:Choice>
      <mc:Fallback>
        <control shapeId="8200" r:id="rId12" name="MiscNotes"/>
      </mc:Fallback>
    </mc:AlternateContent>
    <mc:AlternateContent xmlns:mc="http://schemas.openxmlformats.org/markup-compatibility/2006">
      <mc:Choice Requires="x14">
        <control shapeId="8195" r:id="rId14" name="Button 3">
          <controlPr defaultSize="0" print="0" autoFill="0" autoPict="0" macro="[0]!SAPClear">
            <anchor moveWithCells="1" sizeWithCells="1">
              <from>
                <xdr:col>11</xdr:col>
                <xdr:colOff>552450</xdr:colOff>
                <xdr:row>1</xdr:row>
                <xdr:rowOff>180975</xdr:rowOff>
              </from>
              <to>
                <xdr:col>12</xdr:col>
                <xdr:colOff>552450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5" name="Button 4">
          <controlPr defaultSize="0" print="0" autoFill="0" autoPict="0" macro="[0]!SAPCopy">
            <anchor moveWithCells="1" sizeWithCells="1">
              <from>
                <xdr:col>11</xdr:col>
                <xdr:colOff>152400</xdr:colOff>
                <xdr:row>10</xdr:row>
                <xdr:rowOff>57150</xdr:rowOff>
              </from>
              <to>
                <xdr:col>12</xdr:col>
                <xdr:colOff>9525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5" r:id="rId16" name="Button 13">
          <controlPr defaultSize="0" print="0" autoFill="0" autoPict="0" macro="[0]!CaseSubjectCopy">
            <anchor moveWithCells="1" sizeWithCells="1">
              <from>
                <xdr:col>2</xdr:col>
                <xdr:colOff>257175</xdr:colOff>
                <xdr:row>22</xdr:row>
                <xdr:rowOff>180975</xdr:rowOff>
              </from>
              <to>
                <xdr:col>2</xdr:col>
                <xdr:colOff>666750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7" name="Button 14">
          <controlPr defaultSize="0" print="0" autoFill="0" autoPict="0" macro="[0]!CaseDescCopy">
            <anchor moveWithCells="1" sizeWithCells="1">
              <from>
                <xdr:col>2</xdr:col>
                <xdr:colOff>257175</xdr:colOff>
                <xdr:row>24</xdr:row>
                <xdr:rowOff>57150</xdr:rowOff>
              </from>
              <to>
                <xdr:col>2</xdr:col>
                <xdr:colOff>666750</xdr:colOff>
                <xdr:row>25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8" r:id="rId18" name="Button 16">
          <controlPr defaultSize="0" print="0" autoFill="0" autoPict="0" macro="[0]!QueueCopy">
            <anchor moveWithCells="1" sizeWithCells="1">
              <from>
                <xdr:col>2</xdr:col>
                <xdr:colOff>257175</xdr:colOff>
                <xdr:row>25</xdr:row>
                <xdr:rowOff>123825</xdr:rowOff>
              </from>
              <to>
                <xdr:col>2</xdr:col>
                <xdr:colOff>666750</xdr:colOff>
                <xdr:row>26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0B05-3509-4782-A029-1207B1F00101}">
  <sheetPr codeName="Sheet7"/>
  <dimension ref="B2:T30"/>
  <sheetViews>
    <sheetView workbookViewId="0">
      <selection activeCell="L19" sqref="L19"/>
    </sheetView>
  </sheetViews>
  <sheetFormatPr defaultColWidth="9.140625" defaultRowHeight="15" x14ac:dyDescent="0.25"/>
  <cols>
    <col min="1" max="1" width="3.140625" style="81" customWidth="1"/>
    <col min="2" max="2" width="3.28515625" style="81" customWidth="1"/>
    <col min="3" max="3" width="11.42578125" style="81" customWidth="1"/>
    <col min="4" max="4" width="13.28515625" style="81" customWidth="1"/>
    <col min="5" max="13" width="9.140625" style="81"/>
    <col min="14" max="14" width="0.42578125" style="81" customWidth="1"/>
    <col min="15" max="16" width="9.140625" style="81"/>
    <col min="17" max="17" width="22.85546875" style="81" customWidth="1"/>
    <col min="18" max="18" width="9.140625" style="81" customWidth="1"/>
    <col min="19" max="19" width="21" style="81" customWidth="1"/>
    <col min="20" max="16384" width="9.140625" style="81"/>
  </cols>
  <sheetData>
    <row r="2" spans="2:20" ht="75" x14ac:dyDescent="0.25">
      <c r="B2" s="79"/>
      <c r="C2" s="80"/>
      <c r="D2" s="80"/>
      <c r="E2" s="91"/>
      <c r="F2" s="91"/>
      <c r="G2" s="91"/>
      <c r="H2" s="91"/>
      <c r="I2" s="91"/>
      <c r="J2" s="91"/>
      <c r="K2" s="91"/>
      <c r="L2" s="91"/>
      <c r="M2" s="92"/>
      <c r="N2" s="159" t="str">
        <f>H7</f>
        <v>Empty</v>
      </c>
      <c r="Q2" s="81" t="b">
        <v>0</v>
      </c>
      <c r="R2" s="82" t="s">
        <v>221</v>
      </c>
    </row>
    <row r="3" spans="2:20" x14ac:dyDescent="0.25">
      <c r="B3" s="97"/>
      <c r="C3" s="128" t="s">
        <v>332</v>
      </c>
      <c r="D3" s="174"/>
      <c r="E3" s="93"/>
      <c r="F3" s="93"/>
      <c r="G3" s="93"/>
      <c r="H3" s="93"/>
      <c r="I3" s="93"/>
      <c r="J3" s="93"/>
      <c r="K3" s="93"/>
      <c r="L3" s="93"/>
      <c r="M3" s="94"/>
      <c r="Q3" s="102" t="e">
        <f>EDATE(DATEVALUE(TEXT(D3&amp;"01","0000-00-00")),6)-1</f>
        <v>#VALUE!</v>
      </c>
      <c r="R3" s="82" t="s">
        <v>227</v>
      </c>
    </row>
    <row r="4" spans="2:20" x14ac:dyDescent="0.25">
      <c r="B4" s="97"/>
      <c r="C4" s="93"/>
      <c r="D4" s="83"/>
      <c r="E4" s="93"/>
      <c r="F4" s="93"/>
      <c r="G4" s="93"/>
      <c r="H4" s="93"/>
      <c r="I4" s="93"/>
      <c r="J4" s="93"/>
      <c r="K4" s="93"/>
      <c r="L4" s="93"/>
      <c r="M4" s="94"/>
      <c r="Q4" s="102" t="e">
        <f>EDATE(DATEVALUE(TEXT(D3&amp;"01","0000-00-00")),12)-1</f>
        <v>#VALUE!</v>
      </c>
      <c r="R4" s="82" t="s">
        <v>228</v>
      </c>
    </row>
    <row r="5" spans="2:20" x14ac:dyDescent="0.25">
      <c r="B5" s="97"/>
      <c r="C5" s="98" t="s">
        <v>197</v>
      </c>
      <c r="D5" s="84" t="s">
        <v>209</v>
      </c>
      <c r="E5" s="93"/>
      <c r="F5" s="93"/>
      <c r="G5" s="93"/>
      <c r="H5" s="93"/>
      <c r="I5" s="93"/>
      <c r="J5" s="93"/>
      <c r="K5" s="93"/>
      <c r="L5" s="93"/>
      <c r="M5" s="94"/>
      <c r="Q5" s="110" t="e">
        <f>IF(Q2,"Loan Period "&amp;TEXT(R8,"MM/DD/YYYY")&amp;"-"&amp;TEXT(Q3,"MM/DD/YYYY")&amp;", Academic Year "&amp;TEXT(S30,"MM/DD/YYYY")&amp;"-"&amp;TEXT(Q4,"MM/DD/YYYY"),"Loan Period/Academic Year "&amp;TEXT(R8,"MM/DD/YYYY")&amp;"-"&amp;TEXT(Q4,"MM/DD/YYYY"))</f>
        <v>#VALUE!</v>
      </c>
      <c r="R5" s="104"/>
      <c r="S5" s="104"/>
    </row>
    <row r="6" spans="2:20" x14ac:dyDescent="0.25">
      <c r="B6" s="97"/>
      <c r="C6" s="99" t="s">
        <v>210</v>
      </c>
      <c r="D6" s="85"/>
      <c r="E6" s="93"/>
      <c r="F6" s="93"/>
      <c r="G6" s="93"/>
      <c r="H6" s="93"/>
      <c r="I6" s="93"/>
      <c r="J6" s="93"/>
      <c r="K6" s="93"/>
      <c r="L6" s="93"/>
      <c r="M6" s="94"/>
      <c r="Q6" s="82" t="s">
        <v>223</v>
      </c>
      <c r="R6" s="104"/>
      <c r="S6" s="104"/>
    </row>
    <row r="7" spans="2:20" x14ac:dyDescent="0.25">
      <c r="B7" s="97"/>
      <c r="C7" s="99" t="s">
        <v>212</v>
      </c>
      <c r="D7" s="85"/>
      <c r="E7" s="93"/>
      <c r="F7" s="93"/>
      <c r="G7" s="126" t="s">
        <v>208</v>
      </c>
      <c r="H7" s="384" t="str">
        <f>IF(R25&lt;=0,"Empty","EDUCATION WITHOUT BOUNDARIES: Student dropped before Term Enrollment. Cancelled "&amp;Q17&amp;Q18&amp;Q19&amp;Q20&amp;Q21&amp;Q22&amp;Q5&amp;". Zeroed out loan app.")</f>
        <v>Empty</v>
      </c>
      <c r="I7" s="385"/>
      <c r="J7" s="385"/>
      <c r="K7" s="385"/>
      <c r="L7" s="386"/>
      <c r="M7" s="94"/>
      <c r="Q7" s="86"/>
      <c r="R7" s="103" t="s">
        <v>336</v>
      </c>
      <c r="S7" s="104"/>
    </row>
    <row r="8" spans="2:20" x14ac:dyDescent="0.25">
      <c r="B8" s="97"/>
      <c r="C8" s="99" t="s">
        <v>201</v>
      </c>
      <c r="D8" s="85"/>
      <c r="E8" s="93"/>
      <c r="F8" s="93"/>
      <c r="G8" s="93"/>
      <c r="H8" s="387"/>
      <c r="I8" s="388"/>
      <c r="J8" s="388"/>
      <c r="K8" s="388"/>
      <c r="L8" s="389"/>
      <c r="M8" s="94"/>
      <c r="Q8" s="86"/>
      <c r="R8" s="178" t="e">
        <f>DATEVALUE(TEXT(D3&amp;"01","0000-00-00"))</f>
        <v>#VALUE!</v>
      </c>
      <c r="S8" s="104"/>
    </row>
    <row r="9" spans="2:20" x14ac:dyDescent="0.25">
      <c r="B9" s="97"/>
      <c r="C9" s="99" t="s">
        <v>211</v>
      </c>
      <c r="D9" s="85"/>
      <c r="E9" s="93"/>
      <c r="F9" s="93"/>
      <c r="G9" s="93"/>
      <c r="H9" s="387"/>
      <c r="I9" s="388"/>
      <c r="J9" s="388"/>
      <c r="K9" s="388"/>
      <c r="L9" s="389"/>
      <c r="M9" s="94"/>
      <c r="Q9" s="103"/>
      <c r="R9" s="104"/>
      <c r="S9" s="104"/>
    </row>
    <row r="10" spans="2:20" x14ac:dyDescent="0.25">
      <c r="B10" s="97"/>
      <c r="C10" s="99" t="s">
        <v>203</v>
      </c>
      <c r="D10" s="85"/>
      <c r="E10" s="93"/>
      <c r="F10" s="93"/>
      <c r="G10" s="93"/>
      <c r="H10" s="390"/>
      <c r="I10" s="391"/>
      <c r="J10" s="391"/>
      <c r="K10" s="391"/>
      <c r="L10" s="392"/>
      <c r="M10" s="94"/>
      <c r="Q10" s="104"/>
      <c r="R10" s="104"/>
      <c r="S10" s="104"/>
    </row>
    <row r="11" spans="2:20" x14ac:dyDescent="0.25">
      <c r="B11" s="97"/>
      <c r="C11" s="100" t="s">
        <v>204</v>
      </c>
      <c r="D11" s="87"/>
      <c r="E11" s="93"/>
      <c r="F11" s="93"/>
      <c r="G11" s="93"/>
      <c r="H11" s="93"/>
      <c r="I11" s="93"/>
      <c r="J11" s="93"/>
      <c r="K11" s="93"/>
      <c r="L11" s="93"/>
      <c r="M11" s="94"/>
      <c r="Q11" s="104"/>
      <c r="R11" s="103" t="s">
        <v>226</v>
      </c>
      <c r="S11" s="104"/>
    </row>
    <row r="12" spans="2:20" x14ac:dyDescent="0.25">
      <c r="B12" s="101"/>
      <c r="C12" s="95"/>
      <c r="D12" s="88"/>
      <c r="E12" s="95"/>
      <c r="F12" s="95"/>
      <c r="G12" s="95"/>
      <c r="H12" s="95"/>
      <c r="I12" s="95"/>
      <c r="J12" s="95"/>
      <c r="K12" s="95"/>
      <c r="L12" s="95"/>
      <c r="M12" s="96"/>
      <c r="Q12" s="153" t="s">
        <v>224</v>
      </c>
      <c r="R12" s="154">
        <v>2223</v>
      </c>
      <c r="S12" s="104"/>
    </row>
    <row r="13" spans="2:20" x14ac:dyDescent="0.25">
      <c r="Q13" s="153" t="s">
        <v>225</v>
      </c>
      <c r="R13" s="154">
        <v>2324</v>
      </c>
      <c r="S13" s="104"/>
    </row>
    <row r="14" spans="2:20" x14ac:dyDescent="0.25">
      <c r="Q14" s="104"/>
      <c r="R14" s="104"/>
      <c r="S14" s="104"/>
    </row>
    <row r="15" spans="2:20" x14ac:dyDescent="0.25">
      <c r="P15" s="106"/>
      <c r="Q15" s="82" t="s">
        <v>222</v>
      </c>
      <c r="R15" s="107"/>
      <c r="S15" s="107"/>
      <c r="T15" s="106"/>
    </row>
    <row r="16" spans="2:20" x14ac:dyDescent="0.25">
      <c r="P16" s="106"/>
      <c r="Q16" s="89" t="s">
        <v>215</v>
      </c>
      <c r="R16" s="107"/>
      <c r="S16" s="108"/>
      <c r="T16" s="106"/>
    </row>
    <row r="17" spans="16:20" x14ac:dyDescent="0.25">
      <c r="P17" s="106"/>
      <c r="Q17" s="90" t="str">
        <f>IF(ISBLANK(D11),"",TEXT(D11,"$#,##0")&amp;" Sub, ")</f>
        <v/>
      </c>
      <c r="R17" s="107"/>
      <c r="S17" s="107"/>
      <c r="T17" s="106"/>
    </row>
    <row r="18" spans="16:20" x14ac:dyDescent="0.25">
      <c r="P18" s="106"/>
      <c r="Q18" s="90" t="str">
        <f>IF(ISBLANK(D10),"",TEXT(D10,"$#,##0")&amp;" Sub, ")</f>
        <v/>
      </c>
      <c r="R18" s="107"/>
      <c r="S18" s="107"/>
      <c r="T18" s="106"/>
    </row>
    <row r="19" spans="16:20" x14ac:dyDescent="0.25">
      <c r="P19" s="106"/>
      <c r="Q19" s="90" t="str">
        <f t="shared" ref="Q19:Q22" si="0">IF(ISBLANK(D8),"",TEXT(D8,"$#,##0")&amp;" Sub, ")</f>
        <v/>
      </c>
      <c r="R19" s="107"/>
      <c r="S19" s="107"/>
      <c r="T19" s="106"/>
    </row>
    <row r="20" spans="16:20" x14ac:dyDescent="0.25">
      <c r="P20" s="106"/>
      <c r="Q20" s="90" t="str">
        <f t="shared" si="0"/>
        <v/>
      </c>
      <c r="R20" s="107"/>
      <c r="S20" s="107"/>
      <c r="T20" s="106"/>
    </row>
    <row r="21" spans="16:20" x14ac:dyDescent="0.25">
      <c r="P21" s="106"/>
      <c r="Q21" s="90" t="str">
        <f t="shared" si="0"/>
        <v/>
      </c>
      <c r="R21" s="107"/>
      <c r="S21" s="107"/>
      <c r="T21" s="106"/>
    </row>
    <row r="22" spans="16:20" x14ac:dyDescent="0.25">
      <c r="P22" s="106"/>
      <c r="Q22" s="109" t="str">
        <f t="shared" si="0"/>
        <v/>
      </c>
      <c r="R22" s="107"/>
      <c r="S22" s="107"/>
      <c r="T22" s="106"/>
    </row>
    <row r="23" spans="16:20" x14ac:dyDescent="0.25">
      <c r="P23" s="106"/>
      <c r="Q23" s="107"/>
      <c r="R23" s="107"/>
      <c r="S23" s="107"/>
      <c r="T23" s="106"/>
    </row>
    <row r="24" spans="16:20" x14ac:dyDescent="0.25">
      <c r="P24" s="106"/>
      <c r="R24" s="82" t="s">
        <v>233</v>
      </c>
      <c r="S24" s="106"/>
      <c r="T24" s="106"/>
    </row>
    <row r="25" spans="16:20" x14ac:dyDescent="0.25">
      <c r="Q25" s="81" t="s">
        <v>232</v>
      </c>
      <c r="R25" s="113">
        <f>SUM(D3:D12)</f>
        <v>0</v>
      </c>
    </row>
    <row r="26" spans="16:20" x14ac:dyDescent="0.25">
      <c r="Q26" s="82"/>
    </row>
    <row r="29" spans="16:20" x14ac:dyDescent="0.25">
      <c r="Q29" s="82"/>
      <c r="S29" s="82"/>
    </row>
    <row r="30" spans="16:20" x14ac:dyDescent="0.25">
      <c r="Q30" s="167"/>
      <c r="R30" s="102"/>
      <c r="S30" s="102"/>
    </row>
  </sheetData>
  <mergeCells count="1">
    <mergeCell ref="H7:L10"/>
  </mergeCells>
  <dataValidations count="2">
    <dataValidation allowBlank="1" showInputMessage="1" showErrorMessage="1" prompt="yyyymm" sqref="D3" xr:uid="{B6F01FCC-1C7F-42C0-8136-D98D7DF5913B}"/>
    <dataValidation allowBlank="1" showInputMessage="1" showErrorMessage="1" prompt="ex. 2122" sqref="R12" xr:uid="{80E577DB-C3F0-444E-B0B1-3AC34B1F1702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DropClear">
                <anchor moveWithCells="1" sizeWithCells="1">
                  <from>
                    <xdr:col>11</xdr:col>
                    <xdr:colOff>438150</xdr:colOff>
                    <xdr:row>1</xdr:row>
                    <xdr:rowOff>104775</xdr:rowOff>
                  </from>
                  <to>
                    <xdr:col>12</xdr:col>
                    <xdr:colOff>438150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DropCopy">
                <anchor moveWithCells="1" sizeWithCells="1">
                  <from>
                    <xdr:col>11</xdr:col>
                    <xdr:colOff>152400</xdr:colOff>
                    <xdr:row>10</xdr:row>
                    <xdr:rowOff>57150</xdr:rowOff>
                  </from>
                  <to>
                    <xdr:col>12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</xdr:row>
                    <xdr:rowOff>38100</xdr:rowOff>
                  </from>
                  <to>
                    <xdr:col>6</xdr:col>
                    <xdr:colOff>28575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F80EF-3458-4134-8A32-6D281A97CFF2}">
  <sheetPr codeName="Sheet9">
    <pageSetUpPr autoPageBreaks="0"/>
  </sheetPr>
  <dimension ref="B1:W35"/>
  <sheetViews>
    <sheetView workbookViewId="0">
      <selection activeCell="H21" sqref="H21"/>
    </sheetView>
  </sheetViews>
  <sheetFormatPr defaultRowHeight="15" x14ac:dyDescent="0.25"/>
  <cols>
    <col min="1" max="1" width="4" customWidth="1"/>
    <col min="2" max="2" width="4.85546875" customWidth="1"/>
    <col min="3" max="3" width="11.28515625" customWidth="1"/>
    <col min="4" max="4" width="12.7109375" customWidth="1"/>
    <col min="14" max="14" width="2.7109375" customWidth="1"/>
    <col min="15" max="15" width="0.42578125" customWidth="1"/>
    <col min="16" max="16" width="9.140625" hidden="1" customWidth="1"/>
    <col min="17" max="17" width="17.7109375" hidden="1" customWidth="1"/>
    <col min="18" max="23" width="9.140625" hidden="1" customWidth="1"/>
    <col min="24" max="29" width="9.140625" customWidth="1"/>
  </cols>
  <sheetData>
    <row r="1" spans="2:23" ht="10.5" customHeight="1" x14ac:dyDescent="0.25">
      <c r="Q1" s="81"/>
      <c r="R1" s="81"/>
      <c r="S1" s="81"/>
    </row>
    <row r="2" spans="2:23" ht="24" customHeight="1" x14ac:dyDescent="0.25">
      <c r="B2" s="79"/>
      <c r="C2" s="80"/>
      <c r="D2" s="80"/>
      <c r="E2" s="91"/>
      <c r="F2" s="91"/>
      <c r="G2" s="91"/>
      <c r="H2" s="91"/>
      <c r="I2" s="91"/>
      <c r="J2" s="91"/>
      <c r="K2" s="91"/>
      <c r="L2" s="91"/>
      <c r="M2" s="91"/>
      <c r="N2" s="252"/>
      <c r="O2" s="269" t="str">
        <f>H8</f>
        <v>Empty</v>
      </c>
      <c r="Q2" s="198" t="b">
        <v>0</v>
      </c>
      <c r="R2" s="212" t="s">
        <v>221</v>
      </c>
      <c r="S2" s="198"/>
      <c r="T2" s="198"/>
      <c r="U2" s="198"/>
      <c r="V2" s="198"/>
      <c r="W2" s="198"/>
    </row>
    <row r="3" spans="2:23" x14ac:dyDescent="0.25">
      <c r="B3" s="97"/>
      <c r="C3" s="126" t="s">
        <v>333</v>
      </c>
      <c r="D3" s="231"/>
      <c r="E3" s="219" t="s">
        <v>372</v>
      </c>
      <c r="F3" s="93"/>
      <c r="G3" s="93"/>
      <c r="H3" s="93"/>
      <c r="I3" s="93"/>
      <c r="J3" s="93"/>
      <c r="K3" s="93"/>
      <c r="L3" s="93"/>
      <c r="M3" s="93"/>
      <c r="N3" s="247"/>
      <c r="Q3" s="102" t="e">
        <f>EDATE(DATEVALUE(TEXT(D3&amp;"01","0000-00-00")),6)-1</f>
        <v>#VALUE!</v>
      </c>
      <c r="R3" s="212" t="s">
        <v>227</v>
      </c>
      <c r="S3" s="198"/>
      <c r="T3" s="198"/>
      <c r="U3" s="198"/>
      <c r="V3" s="198"/>
      <c r="W3" s="198"/>
    </row>
    <row r="4" spans="2:23" x14ac:dyDescent="0.25">
      <c r="B4" s="97"/>
      <c r="C4" s="283"/>
      <c r="D4" s="290"/>
      <c r="E4" s="219"/>
      <c r="F4" s="93"/>
      <c r="G4" s="93"/>
      <c r="H4" s="93"/>
      <c r="I4" s="93"/>
      <c r="J4" s="93"/>
      <c r="K4" s="93"/>
      <c r="L4" s="93"/>
      <c r="M4" s="93"/>
      <c r="N4" s="247"/>
      <c r="Q4" s="102" t="e">
        <f>EDATE(DATEVALUE(TEXT(D3&amp;"01","0000-00-00")),12)-1</f>
        <v>#VALUE!</v>
      </c>
      <c r="R4" s="212" t="s">
        <v>228</v>
      </c>
      <c r="S4" s="198"/>
      <c r="T4" s="198"/>
      <c r="U4" s="198"/>
      <c r="V4" s="198"/>
      <c r="W4" s="198"/>
    </row>
    <row r="5" spans="2:23" x14ac:dyDescent="0.25">
      <c r="B5" s="97"/>
      <c r="C5" s="93"/>
      <c r="D5" s="83"/>
      <c r="E5" s="93"/>
      <c r="F5" s="93"/>
      <c r="G5" s="93"/>
      <c r="H5" s="93"/>
      <c r="I5" s="93"/>
      <c r="J5" s="93"/>
      <c r="K5" s="93"/>
      <c r="L5" s="93"/>
      <c r="M5" s="93"/>
      <c r="N5" s="247"/>
      <c r="Q5" s="110" t="e">
        <f>IF(Q2,"Loan Period "&amp;TEXT(S8,"MM/DD/YYYY")&amp;"-"&amp;TEXT(Q3,"MM/DD/YYYY")&amp;", Academic Year "&amp;TEXT(S8,"MM/DD/YYYY")&amp;"-"&amp;TEXT(Q4,"MM/DD/YYYY"),"Loan Period/Academic Year "&amp;TEXT(S8,"MM/DD/YYYY")&amp;"-"&amp;TEXT(Q4,"MM/DD/YYYY"))</f>
        <v>#VALUE!</v>
      </c>
      <c r="R5" s="104"/>
      <c r="S5" s="104"/>
      <c r="T5" s="198"/>
      <c r="U5" s="198"/>
      <c r="V5" s="198"/>
      <c r="W5" s="198"/>
    </row>
    <row r="6" spans="2:23" x14ac:dyDescent="0.25">
      <c r="B6" s="97"/>
      <c r="C6" s="98" t="s">
        <v>197</v>
      </c>
      <c r="D6" s="196" t="s">
        <v>209</v>
      </c>
      <c r="E6" s="93"/>
      <c r="F6" s="93"/>
      <c r="G6" s="93"/>
      <c r="H6" s="93"/>
      <c r="I6" s="93"/>
      <c r="J6" s="93"/>
      <c r="K6" s="93"/>
      <c r="L6" s="93"/>
      <c r="M6" s="93"/>
      <c r="N6" s="247"/>
      <c r="Q6" s="212" t="s">
        <v>223</v>
      </c>
      <c r="R6" s="104"/>
      <c r="S6" s="104"/>
      <c r="T6" s="198"/>
      <c r="U6" s="198"/>
      <c r="V6" s="198"/>
      <c r="W6" s="198"/>
    </row>
    <row r="7" spans="2:23" x14ac:dyDescent="0.25">
      <c r="B7" s="97"/>
      <c r="C7" s="99" t="s">
        <v>210</v>
      </c>
      <c r="D7" s="85"/>
      <c r="E7" s="93"/>
      <c r="F7" s="93"/>
      <c r="G7" s="93"/>
      <c r="H7" s="93"/>
      <c r="I7" s="93"/>
      <c r="J7" s="93"/>
      <c r="K7" s="93"/>
      <c r="L7" s="93"/>
      <c r="M7" s="93"/>
      <c r="N7" s="247"/>
      <c r="Q7" s="86"/>
      <c r="R7" s="104"/>
      <c r="S7" s="212" t="s">
        <v>331</v>
      </c>
      <c r="T7" s="198"/>
      <c r="U7" s="198"/>
      <c r="V7" s="198"/>
      <c r="W7" s="198"/>
    </row>
    <row r="8" spans="2:23" x14ac:dyDescent="0.25">
      <c r="B8" s="97"/>
      <c r="C8" s="99" t="s">
        <v>212</v>
      </c>
      <c r="D8" s="85"/>
      <c r="E8" s="93"/>
      <c r="F8" s="93"/>
      <c r="G8" s="129" t="s">
        <v>208</v>
      </c>
      <c r="H8" s="384" t="str">
        <f>IF(Q28="--Misc Notes--",IF(R25&lt;=0,"Empty","NEVER START: Student dropped before Term Enrollment. Cancelled "&amp;Q23&amp;Q24&amp;Q17&amp;Q18&amp;Q19&amp;Q20&amp;Q21&amp;Q22&amp;Q5&amp;". Zeroed out loan app."),IFERROR(VLOOKUP(Q28,$Q$30:$R$34,2,FALSE),""))</f>
        <v>Empty</v>
      </c>
      <c r="I8" s="385"/>
      <c r="J8" s="385"/>
      <c r="K8" s="385"/>
      <c r="L8" s="386"/>
      <c r="M8" s="93"/>
      <c r="N8" s="247"/>
      <c r="Q8" s="86"/>
      <c r="R8" s="104"/>
      <c r="S8" s="282" t="e">
        <f>DATEVALUE(TEXT(D3&amp;"01","0000-00-00"))</f>
        <v>#VALUE!</v>
      </c>
      <c r="T8" s="198"/>
      <c r="U8" s="198"/>
      <c r="V8" s="198"/>
      <c r="W8" s="198"/>
    </row>
    <row r="9" spans="2:23" x14ac:dyDescent="0.25">
      <c r="B9" s="97"/>
      <c r="C9" s="99" t="s">
        <v>201</v>
      </c>
      <c r="D9" s="85"/>
      <c r="E9" s="93"/>
      <c r="F9" s="93"/>
      <c r="G9" s="93"/>
      <c r="H9" s="387"/>
      <c r="I9" s="388"/>
      <c r="J9" s="388"/>
      <c r="K9" s="388"/>
      <c r="L9" s="389"/>
      <c r="M9" s="93"/>
      <c r="N9" s="247"/>
      <c r="Q9" s="217"/>
      <c r="R9" s="104"/>
      <c r="S9" s="104"/>
      <c r="T9" s="198"/>
      <c r="U9" s="198"/>
      <c r="V9" s="198"/>
      <c r="W9" s="198"/>
    </row>
    <row r="10" spans="2:23" x14ac:dyDescent="0.25">
      <c r="B10" s="97"/>
      <c r="C10" s="99" t="s">
        <v>211</v>
      </c>
      <c r="D10" s="85"/>
      <c r="E10" s="93"/>
      <c r="F10" s="93"/>
      <c r="G10" s="93"/>
      <c r="H10" s="387"/>
      <c r="I10" s="388"/>
      <c r="J10" s="388"/>
      <c r="K10" s="388"/>
      <c r="L10" s="389"/>
      <c r="M10" s="93"/>
      <c r="N10" s="247"/>
      <c r="Q10" s="217" t="s">
        <v>376</v>
      </c>
      <c r="R10" s="104" t="s">
        <v>624</v>
      </c>
      <c r="S10" s="212" t="s">
        <v>373</v>
      </c>
      <c r="T10" s="198">
        <v>2324</v>
      </c>
      <c r="U10" s="198"/>
      <c r="V10" s="198"/>
      <c r="W10" s="198"/>
    </row>
    <row r="11" spans="2:23" x14ac:dyDescent="0.25">
      <c r="B11" s="97"/>
      <c r="C11" s="99" t="s">
        <v>203</v>
      </c>
      <c r="D11" s="85"/>
      <c r="E11" s="93"/>
      <c r="F11" s="93"/>
      <c r="G11" s="93"/>
      <c r="H11" s="390"/>
      <c r="I11" s="391"/>
      <c r="J11" s="391"/>
      <c r="K11" s="391"/>
      <c r="L11" s="392"/>
      <c r="M11" s="93"/>
      <c r="N11" s="247"/>
      <c r="Q11" s="221" t="s">
        <v>368</v>
      </c>
      <c r="R11" s="223">
        <v>2122</v>
      </c>
      <c r="S11" s="104"/>
      <c r="T11" s="198"/>
      <c r="U11" s="198"/>
      <c r="V11" s="198"/>
      <c r="W11" s="198"/>
    </row>
    <row r="12" spans="2:23" x14ac:dyDescent="0.25">
      <c r="B12" s="97"/>
      <c r="C12" s="99" t="s">
        <v>204</v>
      </c>
      <c r="D12" s="197"/>
      <c r="E12" s="93"/>
      <c r="F12" s="93"/>
      <c r="G12" s="93"/>
      <c r="H12" s="93"/>
      <c r="I12" s="93"/>
      <c r="J12" s="93"/>
      <c r="K12" s="93"/>
      <c r="L12" s="93"/>
      <c r="M12" s="93"/>
      <c r="N12" s="247"/>
      <c r="Q12" s="221" t="s">
        <v>224</v>
      </c>
      <c r="R12" s="222">
        <v>2223</v>
      </c>
      <c r="S12" s="104"/>
      <c r="T12" s="198"/>
      <c r="U12" s="198"/>
      <c r="V12" s="198"/>
      <c r="W12" s="198"/>
    </row>
    <row r="13" spans="2:23" x14ac:dyDescent="0.25">
      <c r="B13" s="97"/>
      <c r="C13" s="353"/>
      <c r="D13" s="347"/>
      <c r="E13" s="93"/>
      <c r="F13" s="93"/>
      <c r="G13" s="93"/>
      <c r="H13" s="93"/>
      <c r="I13" s="93"/>
      <c r="J13" s="93"/>
      <c r="K13" s="93"/>
      <c r="L13" s="93"/>
      <c r="M13" s="93"/>
      <c r="N13" s="247"/>
      <c r="Q13" s="221" t="s">
        <v>225</v>
      </c>
      <c r="R13" s="222">
        <v>2324</v>
      </c>
      <c r="S13" s="104"/>
      <c r="T13" s="198"/>
      <c r="U13" s="198"/>
      <c r="V13" s="198"/>
      <c r="W13" s="198"/>
    </row>
    <row r="14" spans="2:23" x14ac:dyDescent="0.25">
      <c r="B14" s="248"/>
      <c r="C14" s="351"/>
      <c r="D14" s="348"/>
      <c r="E14" s="142"/>
      <c r="F14" s="142"/>
      <c r="G14" s="142"/>
      <c r="H14" s="142"/>
      <c r="I14" s="142"/>
      <c r="J14" s="142"/>
      <c r="K14" s="142"/>
      <c r="L14" s="142"/>
      <c r="M14" s="241"/>
      <c r="N14" s="247"/>
      <c r="Q14" s="104"/>
      <c r="R14" s="104"/>
      <c r="S14" s="104"/>
      <c r="T14" s="198"/>
      <c r="U14" s="198"/>
      <c r="V14" s="198"/>
      <c r="W14" s="198"/>
    </row>
    <row r="15" spans="2:23" x14ac:dyDescent="0.25">
      <c r="B15" s="146"/>
      <c r="C15" s="234" t="s">
        <v>359</v>
      </c>
      <c r="D15" s="234"/>
      <c r="E15" s="234"/>
      <c r="F15" s="234"/>
      <c r="G15" s="241"/>
      <c r="H15" s="234" t="s">
        <v>362</v>
      </c>
      <c r="I15" s="234"/>
      <c r="J15" s="234"/>
      <c r="K15" s="234"/>
      <c r="L15" s="234"/>
      <c r="M15" s="234"/>
      <c r="N15" s="247"/>
      <c r="Q15" s="212" t="s">
        <v>222</v>
      </c>
      <c r="R15" s="107"/>
      <c r="S15" s="107"/>
      <c r="T15" s="198" t="b">
        <v>0</v>
      </c>
      <c r="U15" s="212" t="s">
        <v>412</v>
      </c>
      <c r="V15" s="198"/>
      <c r="W15" s="198"/>
    </row>
    <row r="16" spans="2:23" x14ac:dyDescent="0.25">
      <c r="B16" s="240"/>
      <c r="C16" s="375"/>
      <c r="D16" s="376"/>
      <c r="E16" s="376"/>
      <c r="F16" s="377"/>
      <c r="G16" s="241"/>
      <c r="H16" s="396" t="s">
        <v>360</v>
      </c>
      <c r="I16" s="396"/>
      <c r="J16" s="396" t="s">
        <v>361</v>
      </c>
      <c r="K16" s="396"/>
      <c r="L16" s="396" t="str">
        <f>IF(ISBLANK(D10),IF(ISBLANK(D9),"Pell Grant","Pell Grant/FSEOG"),IF(ISBLANK(D9),"Pell Grant/Teach","Pell Grant/FSEOG/Teach"))</f>
        <v>Pell Grant</v>
      </c>
      <c r="M16" s="396"/>
      <c r="N16" s="247"/>
      <c r="Q16" s="213" t="s">
        <v>215</v>
      </c>
      <c r="R16" s="107"/>
      <c r="S16" s="108"/>
      <c r="T16" s="198" t="b">
        <v>0</v>
      </c>
      <c r="U16" s="198"/>
      <c r="V16" s="198"/>
      <c r="W16" s="198"/>
    </row>
    <row r="17" spans="2:23" x14ac:dyDescent="0.25">
      <c r="B17" s="240"/>
      <c r="C17" s="378"/>
      <c r="D17" s="379"/>
      <c r="E17" s="379"/>
      <c r="F17" s="380"/>
      <c r="G17" s="241"/>
      <c r="H17" s="397">
        <f>D12</f>
        <v>0</v>
      </c>
      <c r="I17" s="398"/>
      <c r="J17" s="397">
        <f>D11</f>
        <v>0</v>
      </c>
      <c r="K17" s="398"/>
      <c r="L17" s="397" t="str">
        <f>IF(ISBLANK(D10),IF(ISBLANK(D9),TEXT(D7,"$#,##0"),TEXT(D7,"$#,##0")&amp;"/"&amp;TEXT(D9,"$#,##0")),IF(ISBLANK(D9),TEXT(D7,"$#,##0")&amp;"/"&amp;TEXT(D10,"$#,##0"),TEXT(D7,"$#,##0")&amp;"/"&amp;TEXT(D9,"$#,##0")&amp;"/"&amp;TEXT(D10,"$#,##0")))</f>
        <v>$0</v>
      </c>
      <c r="M17" s="397"/>
      <c r="N17" s="247"/>
      <c r="Q17" s="214" t="str">
        <f>IF(ISBLANK(D12),"",TEXT(D12,"$#,##0")&amp;" Sub, ")</f>
        <v/>
      </c>
      <c r="R17" s="107"/>
      <c r="S17" s="107"/>
      <c r="T17" s="198"/>
      <c r="U17" s="198"/>
      <c r="V17" s="198"/>
      <c r="W17" s="198"/>
    </row>
    <row r="18" spans="2:23" x14ac:dyDescent="0.25">
      <c r="B18" s="240"/>
      <c r="C18" s="378"/>
      <c r="D18" s="379"/>
      <c r="E18" s="379"/>
      <c r="F18" s="380"/>
      <c r="G18" s="241"/>
      <c r="H18" s="241"/>
      <c r="I18" s="241"/>
      <c r="J18" s="241"/>
      <c r="K18" s="241"/>
      <c r="L18" s="241"/>
      <c r="M18" s="241"/>
      <c r="N18" s="247"/>
      <c r="Q18" s="214" t="str">
        <f>IF(ISBLANK(D11),"",TEXT(D11,"$#,##0")&amp;" Unsub, ")</f>
        <v/>
      </c>
      <c r="R18" s="107"/>
      <c r="S18" s="107"/>
      <c r="T18" s="198"/>
      <c r="U18" s="198"/>
      <c r="V18" s="198"/>
      <c r="W18" s="198"/>
    </row>
    <row r="19" spans="2:23" x14ac:dyDescent="0.25">
      <c r="B19" s="240"/>
      <c r="C19" s="378"/>
      <c r="D19" s="379"/>
      <c r="E19" s="379"/>
      <c r="F19" s="380"/>
      <c r="G19" s="241"/>
      <c r="H19" s="241"/>
      <c r="I19" s="241"/>
      <c r="J19" s="241"/>
      <c r="K19" s="241"/>
      <c r="L19" s="241"/>
      <c r="M19" s="241"/>
      <c r="N19" s="247"/>
      <c r="Q19" s="214" t="str">
        <f>IF(ISBLANK(D7),"",TEXT(D7,"$#,##0")&amp;" "&amp;R10&amp;" Pell, ")</f>
        <v/>
      </c>
      <c r="R19" s="107"/>
      <c r="S19" s="107"/>
      <c r="T19" s="198"/>
      <c r="U19" s="198"/>
      <c r="V19" s="198"/>
      <c r="W19" s="198"/>
    </row>
    <row r="20" spans="2:23" x14ac:dyDescent="0.25">
      <c r="B20" s="240"/>
      <c r="C20" s="378"/>
      <c r="D20" s="379"/>
      <c r="E20" s="379"/>
      <c r="F20" s="380"/>
      <c r="G20" s="241"/>
      <c r="H20" s="241"/>
      <c r="I20" s="241"/>
      <c r="J20" s="241"/>
      <c r="K20" s="241"/>
      <c r="L20" s="241"/>
      <c r="M20" s="241"/>
      <c r="N20" s="247"/>
      <c r="Q20" s="214" t="str">
        <f>IF(ISBLANK(D8),"",TEXT(D8,"$#,##0")&amp;" "&amp;T10&amp;" Est Pell, ")</f>
        <v/>
      </c>
      <c r="R20" s="107"/>
      <c r="S20" s="107"/>
      <c r="T20" s="198"/>
      <c r="U20" s="198"/>
      <c r="V20" s="198"/>
      <c r="W20" s="198"/>
    </row>
    <row r="21" spans="2:23" x14ac:dyDescent="0.25">
      <c r="B21" s="240"/>
      <c r="C21" s="381"/>
      <c r="D21" s="382"/>
      <c r="E21" s="382"/>
      <c r="F21" s="383"/>
      <c r="G21" s="241"/>
      <c r="H21" s="241"/>
      <c r="I21" s="241"/>
      <c r="J21" s="241"/>
      <c r="K21" s="241"/>
      <c r="L21" s="241"/>
      <c r="M21" s="241"/>
      <c r="N21" s="247"/>
      <c r="Q21" s="214" t="str">
        <f>IF(ISBLANK(D10),"",TEXT(D10,"$#,##0")&amp;" "&amp;R10&amp;" Teach, ")</f>
        <v/>
      </c>
      <c r="R21" s="107"/>
      <c r="S21" s="107"/>
      <c r="T21" s="198"/>
      <c r="U21" s="198"/>
      <c r="V21" s="198"/>
      <c r="W21" s="198"/>
    </row>
    <row r="22" spans="2:23" x14ac:dyDescent="0.25"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0"/>
      <c r="N22" s="251"/>
      <c r="Q22" s="109" t="str">
        <f>IF(ISBLANK(D9),"",TEXT(D9,"$#,##0")&amp;" "&amp;R10&amp;" FSEOG, ")</f>
        <v/>
      </c>
      <c r="R22" s="107"/>
      <c r="S22" s="107"/>
      <c r="T22" s="198"/>
      <c r="U22" s="198"/>
      <c r="V22" s="198"/>
      <c r="W22" s="198"/>
    </row>
    <row r="23" spans="2:23" x14ac:dyDescent="0.25">
      <c r="Q23" s="109" t="str">
        <f>IF(ISBLANK(D13),"",TEXT(D13,"$#,##0")&amp;" "&amp;R10&amp;" "&amp;C13&amp;", ")</f>
        <v/>
      </c>
      <c r="R23" s="107"/>
      <c r="S23" s="107"/>
      <c r="T23" s="198"/>
      <c r="U23" s="198"/>
      <c r="V23" s="198"/>
      <c r="W23" s="198"/>
    </row>
    <row r="24" spans="2:23" x14ac:dyDescent="0.25">
      <c r="Q24" s="109" t="str">
        <f>IF(ISBLANK(D14),"",TEXT(D14,"$#,##0")&amp;" "&amp;R10&amp;" "&amp;C14&amp;Q23&amp;", ")</f>
        <v/>
      </c>
      <c r="R24" s="212" t="s">
        <v>233</v>
      </c>
      <c r="S24" s="198"/>
      <c r="T24" s="198"/>
      <c r="U24" s="198"/>
      <c r="V24" s="198"/>
      <c r="W24" s="198"/>
    </row>
    <row r="25" spans="2:23" x14ac:dyDescent="0.25">
      <c r="Q25" s="198" t="s">
        <v>232</v>
      </c>
      <c r="R25" s="113">
        <f>SUM(D3:D13)</f>
        <v>0</v>
      </c>
      <c r="S25" s="198"/>
      <c r="T25" s="198"/>
      <c r="U25" s="198"/>
      <c r="V25" s="198"/>
      <c r="W25" s="198"/>
    </row>
    <row r="26" spans="2:23" x14ac:dyDescent="0.25">
      <c r="Q26" s="212"/>
      <c r="R26" s="198"/>
      <c r="S26" s="198"/>
      <c r="T26" s="198"/>
      <c r="U26" s="198"/>
      <c r="V26" s="198"/>
      <c r="W26" s="198"/>
    </row>
    <row r="27" spans="2:23" x14ac:dyDescent="0.25">
      <c r="Q27" s="198"/>
      <c r="R27" s="198"/>
      <c r="S27" s="198"/>
      <c r="T27" s="198"/>
      <c r="U27" s="198"/>
      <c r="V27" s="198"/>
      <c r="W27" s="198"/>
    </row>
    <row r="28" spans="2:23" x14ac:dyDescent="0.25">
      <c r="Q28" s="198" t="s">
        <v>416</v>
      </c>
      <c r="R28" s="212" t="s">
        <v>404</v>
      </c>
      <c r="S28" s="198"/>
      <c r="T28" s="198"/>
      <c r="U28" s="198"/>
      <c r="V28" s="198"/>
      <c r="W28" s="198"/>
    </row>
    <row r="29" spans="2:23" x14ac:dyDescent="0.25">
      <c r="Q29" s="169" t="s">
        <v>405</v>
      </c>
      <c r="R29" s="198"/>
      <c r="S29" s="212"/>
      <c r="T29" s="198"/>
      <c r="U29" s="198"/>
      <c r="V29" s="198"/>
      <c r="W29" s="198"/>
    </row>
    <row r="30" spans="2:23" x14ac:dyDescent="0.25">
      <c r="Q30" s="222" t="s">
        <v>406</v>
      </c>
      <c r="R30" s="198" t="s">
        <v>410</v>
      </c>
      <c r="S30" s="198"/>
      <c r="T30" s="198"/>
      <c r="U30" s="198"/>
      <c r="V30" s="198"/>
      <c r="W30" s="198"/>
    </row>
    <row r="31" spans="2:23" x14ac:dyDescent="0.25">
      <c r="Q31" s="222" t="s">
        <v>407</v>
      </c>
      <c r="R31" s="198" t="s">
        <v>411</v>
      </c>
      <c r="S31" s="198"/>
      <c r="T31" s="198"/>
      <c r="U31" s="198"/>
      <c r="V31" s="198"/>
      <c r="W31" s="198"/>
    </row>
    <row r="32" spans="2:23" x14ac:dyDescent="0.25">
      <c r="Q32" s="222" t="s">
        <v>408</v>
      </c>
      <c r="R32" s="198" t="str">
        <f>IF(ISBLANK(D3),"**Please Enter Term Code**","Reviewed NEVER START drop case. No revision needed; Student is back in Active Status for "&amp;D3&amp;" term.")</f>
        <v>**Please Enter Term Code**</v>
      </c>
      <c r="S32" s="198"/>
      <c r="T32" s="198"/>
      <c r="U32" s="198"/>
      <c r="V32" s="198"/>
      <c r="W32" s="198"/>
    </row>
    <row r="33" spans="17:23" x14ac:dyDescent="0.25">
      <c r="Q33" s="222" t="s">
        <v>409</v>
      </c>
      <c r="R33" s="198" t="str">
        <f>IF(ISBLANK(D4),"**Please enter a Rolled Term Date**","Reviewed NEVER START drop case. Student rolled start to "&amp;D4&amp;". No revision needed. Prepared student for Auto/Manual Packaging.")</f>
        <v>**Please enter a Rolled Term Date**</v>
      </c>
      <c r="S33" s="198"/>
      <c r="T33" s="198"/>
      <c r="U33" s="198"/>
      <c r="V33" s="198"/>
      <c r="W33" s="198"/>
    </row>
    <row r="34" spans="17:23" x14ac:dyDescent="0.25">
      <c r="Q34" s="222" t="s">
        <v>415</v>
      </c>
      <c r="R34" s="198" t="str">
        <f>IF(ISBLANK(D4),"**Please enter a Rolled Term Date**","Reviewed NEVER START drop case. Student rolled start to "&amp;D4&amp;". Award has already been revised. No action needed.")</f>
        <v>**Please enter a Rolled Term Date**</v>
      </c>
      <c r="S34" s="198"/>
      <c r="T34" s="198"/>
      <c r="U34" s="198"/>
      <c r="V34" s="198"/>
      <c r="W34" s="198"/>
    </row>
    <row r="35" spans="17:23" x14ac:dyDescent="0.25">
      <c r="Q35" s="198"/>
      <c r="R35" s="198"/>
      <c r="S35" s="198"/>
      <c r="T35" s="198"/>
      <c r="U35" s="198"/>
      <c r="V35" s="198"/>
      <c r="W35" s="198"/>
    </row>
  </sheetData>
  <sheetProtection sheet="1" scenarios="1" formatCells="0" formatColumns="0" formatRows="0"/>
  <mergeCells count="8">
    <mergeCell ref="C16:F21"/>
    <mergeCell ref="H8:L11"/>
    <mergeCell ref="H16:I16"/>
    <mergeCell ref="J16:K16"/>
    <mergeCell ref="L16:M16"/>
    <mergeCell ref="H17:I17"/>
    <mergeCell ref="J17:K17"/>
    <mergeCell ref="L17:M17"/>
  </mergeCells>
  <dataValidations count="3">
    <dataValidation allowBlank="1" showInputMessage="1" showErrorMessage="1" prompt="yyyymm" sqref="D3:D4" xr:uid="{09B1D33E-686F-430E-A9CF-2582A87A1B94}"/>
    <dataValidation allowBlank="1" showInputMessage="1" showErrorMessage="1" prompt="ex. 2122" sqref="R12" xr:uid="{706F16DD-0280-4306-AA7C-DC00555E51D2}"/>
    <dataValidation allowBlank="1" showInputMessage="1" showErrorMessage="1" prompt="Other" sqref="C13:C14" xr:uid="{782C72FD-8D27-46F3-803C-A6B031C4944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8" r:id="rId4" name="oneTermAward">
          <controlPr defaultSize="0" autoLine="0" linkedCell="Q2" r:id="rId5">
            <anchor moveWithCells="1">
              <from>
                <xdr:col>1</xdr:col>
                <xdr:colOff>285750</xdr:colOff>
                <xdr:row>1</xdr:row>
                <xdr:rowOff>57150</xdr:rowOff>
              </from>
              <to>
                <xdr:col>3</xdr:col>
                <xdr:colOff>276225</xdr:colOff>
                <xdr:row>1</xdr:row>
                <xdr:rowOff>285750</xdr:rowOff>
              </to>
            </anchor>
          </controlPr>
        </control>
      </mc:Choice>
      <mc:Fallback>
        <control shapeId="10248" r:id="rId4" name="oneTermAward"/>
      </mc:Fallback>
    </mc:AlternateContent>
    <mc:AlternateContent xmlns:mc="http://schemas.openxmlformats.org/markup-compatibility/2006">
      <mc:Choice Requires="x14">
        <control shapeId="10245" r:id="rId6" name="MiscNotes">
          <controlPr defaultSize="0" autoLine="0" linkedCell="Q28" listFillRange="Q30:Q34" r:id="rId7">
            <anchor moveWithCells="1">
              <from>
                <xdr:col>7</xdr:col>
                <xdr:colOff>95250</xdr:colOff>
                <xdr:row>1</xdr:row>
                <xdr:rowOff>228600</xdr:rowOff>
              </from>
              <to>
                <xdr:col>11</xdr:col>
                <xdr:colOff>66675</xdr:colOff>
                <xdr:row>2</xdr:row>
                <xdr:rowOff>171450</xdr:rowOff>
              </to>
            </anchor>
          </controlPr>
        </control>
      </mc:Choice>
      <mc:Fallback>
        <control shapeId="10245" r:id="rId6" name="MiscNotes"/>
      </mc:Fallback>
    </mc:AlternateContent>
    <mc:AlternateContent xmlns:mc="http://schemas.openxmlformats.org/markup-compatibility/2006">
      <mc:Choice Requires="x14">
        <control shapeId="10244" r:id="rId8" name="ComboBox1">
          <controlPr defaultSize="0" autoLine="0" linkedCell="R10" listFillRange="R11:R13" r:id="rId9">
            <anchor moveWithCells="1">
              <from>
                <xdr:col>5</xdr:col>
                <xdr:colOff>0</xdr:colOff>
                <xdr:row>1</xdr:row>
                <xdr:rowOff>247650</xdr:rowOff>
              </from>
              <to>
                <xdr:col>6</xdr:col>
                <xdr:colOff>66675</xdr:colOff>
                <xdr:row>3</xdr:row>
                <xdr:rowOff>0</xdr:rowOff>
              </to>
            </anchor>
          </controlPr>
        </control>
      </mc:Choice>
      <mc:Fallback>
        <control shapeId="10244" r:id="rId8" name="ComboBox1"/>
      </mc:Fallback>
    </mc:AlternateContent>
    <mc:AlternateContent xmlns:mc="http://schemas.openxmlformats.org/markup-compatibility/2006">
      <mc:Choice Requires="x14">
        <control shapeId="10241" r:id="rId10" name="Button 1">
          <controlPr defaultSize="0" print="0" autoFill="0" autoPict="0" macro="[0]!NSClear">
            <anchor moveWithCells="1" sizeWithCells="1">
              <from>
                <xdr:col>12</xdr:col>
                <xdr:colOff>28575</xdr:colOff>
                <xdr:row>1</xdr:row>
                <xdr:rowOff>104775</xdr:rowOff>
              </from>
              <to>
                <xdr:col>13</xdr:col>
                <xdr:colOff>28575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11" name="Button 2">
          <controlPr defaultSize="0" print="0" autoFill="0" autoPict="0" macro="[0]!NSCopy">
            <anchor moveWithCells="1" sizeWithCells="1">
              <from>
                <xdr:col>11</xdr:col>
                <xdr:colOff>152400</xdr:colOff>
                <xdr:row>11</xdr:row>
                <xdr:rowOff>57150</xdr:rowOff>
              </from>
              <to>
                <xdr:col>12</xdr:col>
                <xdr:colOff>9525</xdr:colOff>
                <xdr:row>12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D4836-5019-424F-8D62-418373BB0C5F}">
  <sheetPr codeName="Sheet10"/>
  <dimension ref="B1:S30"/>
  <sheetViews>
    <sheetView workbookViewId="0">
      <selection activeCell="C4" sqref="C4:D4"/>
    </sheetView>
  </sheetViews>
  <sheetFormatPr defaultRowHeight="15" x14ac:dyDescent="0.25"/>
  <cols>
    <col min="1" max="1" width="4.28515625" customWidth="1"/>
    <col min="2" max="2" width="5.7109375" customWidth="1"/>
    <col min="3" max="3" width="11.85546875" customWidth="1"/>
    <col min="4" max="4" width="12.85546875" customWidth="1"/>
    <col min="14" max="14" width="0.5703125" customWidth="1"/>
    <col min="16" max="16" width="9.140625" customWidth="1"/>
    <col min="17" max="17" width="15.42578125" hidden="1" customWidth="1"/>
    <col min="18" max="19" width="9.140625" hidden="1" customWidth="1"/>
    <col min="20" max="21" width="9.140625" customWidth="1"/>
  </cols>
  <sheetData>
    <row r="1" spans="2:19" x14ac:dyDescent="0.25">
      <c r="Q1" s="81"/>
      <c r="R1" s="81"/>
      <c r="S1" s="81"/>
    </row>
    <row r="2" spans="2:19" ht="13.5" customHeight="1" x14ac:dyDescent="0.25">
      <c r="B2" s="79"/>
      <c r="C2" s="80"/>
      <c r="D2" s="80"/>
      <c r="E2" s="91"/>
      <c r="F2" s="91"/>
      <c r="G2" s="91"/>
      <c r="H2" s="91"/>
      <c r="I2" s="91"/>
      <c r="J2" s="91"/>
      <c r="K2" s="91"/>
      <c r="L2" s="91"/>
      <c r="M2" s="92"/>
      <c r="N2" s="179" t="str">
        <f>H8</f>
        <v>Empty</v>
      </c>
      <c r="Q2" s="81" t="b">
        <v>0</v>
      </c>
      <c r="R2" s="82" t="s">
        <v>221</v>
      </c>
      <c r="S2" s="81"/>
    </row>
    <row r="3" spans="2:19" x14ac:dyDescent="0.25">
      <c r="B3" s="97"/>
      <c r="C3" s="126" t="s">
        <v>332</v>
      </c>
      <c r="D3" s="174"/>
      <c r="E3" s="93"/>
      <c r="F3" s="93"/>
      <c r="G3" s="93"/>
      <c r="H3" s="93"/>
      <c r="I3" s="93"/>
      <c r="J3" s="93"/>
      <c r="K3" s="93"/>
      <c r="L3" s="93"/>
      <c r="M3" s="94"/>
      <c r="Q3" s="102" t="e">
        <f>EDATE(DATEVALUE(TEXT(D3&amp;"01","0000-00-00")),6)-1</f>
        <v>#VALUE!</v>
      </c>
      <c r="R3" s="82" t="s">
        <v>227</v>
      </c>
      <c r="S3" s="81"/>
    </row>
    <row r="4" spans="2:19" x14ac:dyDescent="0.25">
      <c r="B4" s="97"/>
      <c r="C4" s="126" t="s">
        <v>229</v>
      </c>
      <c r="D4" s="174"/>
      <c r="E4" s="93"/>
      <c r="F4" s="93"/>
      <c r="G4" s="93"/>
      <c r="H4" s="93"/>
      <c r="I4" s="93"/>
      <c r="J4" s="93"/>
      <c r="K4" s="93"/>
      <c r="L4" s="93"/>
      <c r="M4" s="94"/>
      <c r="Q4" s="102" t="e">
        <f>EDATE(DATEVALUE(TEXT(D3&amp;"01","0000-00-00")),12)-1</f>
        <v>#VALUE!</v>
      </c>
      <c r="R4" s="82" t="s">
        <v>228</v>
      </c>
      <c r="S4" s="81"/>
    </row>
    <row r="5" spans="2:19" x14ac:dyDescent="0.25">
      <c r="B5" s="97"/>
      <c r="C5" s="93"/>
      <c r="D5" s="83"/>
      <c r="E5" s="93"/>
      <c r="F5" s="93"/>
      <c r="G5" s="93"/>
      <c r="H5" s="93"/>
      <c r="I5" s="93"/>
      <c r="J5" s="93"/>
      <c r="K5" s="93"/>
      <c r="L5" s="93"/>
      <c r="M5" s="94"/>
      <c r="Q5" s="110" t="e">
        <f>IF(Q2,"Loan Period "&amp;TEXT(S8,"MM/DD/YYYY")&amp;"-"&amp;TEXT(Q3,"MM/DD/YYYY")&amp;", Academic Year "&amp;TEXT(S8,"MM/DD/YYYY")&amp;"-"&amp;TEXT(Q4,"MM/DD/YYYY"),"Loan Period/Academic Year "&amp;TEXT(S8,"MM/DD/YYYY")&amp;"-"&amp;TEXT(Q4,"MM/DD/YYYY"))</f>
        <v>#VALUE!</v>
      </c>
      <c r="R5" s="104"/>
      <c r="S5" s="104"/>
    </row>
    <row r="6" spans="2:19" x14ac:dyDescent="0.25">
      <c r="B6" s="97"/>
      <c r="C6" s="98" t="s">
        <v>197</v>
      </c>
      <c r="D6" s="84" t="s">
        <v>209</v>
      </c>
      <c r="E6" s="93"/>
      <c r="F6" s="93"/>
      <c r="G6" s="93"/>
      <c r="H6" s="93"/>
      <c r="I6" s="93"/>
      <c r="J6" s="93"/>
      <c r="K6" s="93"/>
      <c r="L6" s="93"/>
      <c r="M6" s="94"/>
      <c r="Q6" s="82" t="s">
        <v>223</v>
      </c>
      <c r="R6" s="104"/>
      <c r="S6" s="104"/>
    </row>
    <row r="7" spans="2:19" x14ac:dyDescent="0.25">
      <c r="B7" s="97"/>
      <c r="C7" s="99" t="s">
        <v>204</v>
      </c>
      <c r="D7" s="85"/>
      <c r="E7" s="93"/>
      <c r="F7" s="93"/>
      <c r="G7" s="93"/>
      <c r="H7" s="93"/>
      <c r="I7" s="93"/>
      <c r="J7" s="93"/>
      <c r="K7" s="93"/>
      <c r="L7" s="93"/>
      <c r="M7" s="94"/>
      <c r="Q7" s="86"/>
      <c r="R7" s="104"/>
      <c r="S7" s="82" t="s">
        <v>331</v>
      </c>
    </row>
    <row r="8" spans="2:19" x14ac:dyDescent="0.25">
      <c r="B8" s="97"/>
      <c r="C8" s="99" t="s">
        <v>203</v>
      </c>
      <c r="D8" s="85"/>
      <c r="E8" s="93"/>
      <c r="F8" s="93"/>
      <c r="G8" s="129" t="s">
        <v>208</v>
      </c>
      <c r="H8" s="384" t="str">
        <f>IF(R25&lt;=0,"Empty","Reviewed ROLLED START. Student rolled start to "&amp;D4&amp;". Cancelled "&amp;Q17&amp;Q18&amp;Q19&amp;Q20&amp;Q21&amp;Q22&amp;Q5&amp;". Zeroed out loan app.")</f>
        <v>Empty</v>
      </c>
      <c r="I8" s="385"/>
      <c r="J8" s="385"/>
      <c r="K8" s="385"/>
      <c r="L8" s="386"/>
      <c r="M8" s="94"/>
      <c r="Q8" s="86"/>
      <c r="R8" s="104"/>
      <c r="S8" s="178" t="e">
        <f>DATEVALUE(TEXT(D3&amp;"01","0000-00-00"))</f>
        <v>#VALUE!</v>
      </c>
    </row>
    <row r="9" spans="2:19" x14ac:dyDescent="0.25">
      <c r="B9" s="97"/>
      <c r="C9" s="99" t="s">
        <v>210</v>
      </c>
      <c r="D9" s="85"/>
      <c r="E9" s="93"/>
      <c r="F9" s="93"/>
      <c r="G9" s="93"/>
      <c r="H9" s="387"/>
      <c r="I9" s="388"/>
      <c r="J9" s="388"/>
      <c r="K9" s="388"/>
      <c r="L9" s="389"/>
      <c r="M9" s="94"/>
      <c r="Q9" s="103"/>
      <c r="R9" s="104"/>
      <c r="S9" s="104"/>
    </row>
    <row r="10" spans="2:19" x14ac:dyDescent="0.25">
      <c r="B10" s="97"/>
      <c r="C10" s="99" t="s">
        <v>212</v>
      </c>
      <c r="D10" s="85"/>
      <c r="E10" s="93"/>
      <c r="F10" s="93"/>
      <c r="G10" s="93"/>
      <c r="H10" s="387"/>
      <c r="I10" s="388"/>
      <c r="J10" s="388"/>
      <c r="K10" s="388"/>
      <c r="L10" s="389"/>
      <c r="M10" s="94"/>
      <c r="Q10" s="104"/>
      <c r="R10" s="104"/>
      <c r="S10" s="104"/>
    </row>
    <row r="11" spans="2:19" x14ac:dyDescent="0.25">
      <c r="B11" s="97"/>
      <c r="C11" s="99" t="s">
        <v>211</v>
      </c>
      <c r="D11" s="85"/>
      <c r="E11" s="93"/>
      <c r="F11" s="93"/>
      <c r="G11" s="93"/>
      <c r="H11" s="390"/>
      <c r="I11" s="391"/>
      <c r="J11" s="391"/>
      <c r="K11" s="391"/>
      <c r="L11" s="392"/>
      <c r="M11" s="94"/>
      <c r="Q11" s="104"/>
      <c r="R11" s="103" t="s">
        <v>226</v>
      </c>
      <c r="S11" s="104"/>
    </row>
    <row r="12" spans="2:19" x14ac:dyDescent="0.25">
      <c r="B12" s="97"/>
      <c r="C12" s="100" t="s">
        <v>201</v>
      </c>
      <c r="D12" s="87"/>
      <c r="E12" s="93"/>
      <c r="F12" s="93"/>
      <c r="G12" s="93"/>
      <c r="H12" s="93"/>
      <c r="I12" s="93"/>
      <c r="J12" s="93"/>
      <c r="K12" s="93"/>
      <c r="L12" s="93"/>
      <c r="M12" s="94"/>
      <c r="Q12" s="155" t="s">
        <v>224</v>
      </c>
      <c r="R12" s="156">
        <v>2122</v>
      </c>
      <c r="S12" s="104"/>
    </row>
    <row r="13" spans="2:19" x14ac:dyDescent="0.25">
      <c r="B13" s="101"/>
      <c r="C13" s="95"/>
      <c r="D13" s="88"/>
      <c r="E13" s="95"/>
      <c r="F13" s="95"/>
      <c r="G13" s="95"/>
      <c r="H13" s="95"/>
      <c r="I13" s="95"/>
      <c r="J13" s="95"/>
      <c r="K13" s="95"/>
      <c r="L13" s="95"/>
      <c r="M13" s="96"/>
      <c r="Q13" s="155" t="s">
        <v>225</v>
      </c>
      <c r="R13" s="156">
        <v>2223</v>
      </c>
      <c r="S13" s="104"/>
    </row>
    <row r="14" spans="2:19" x14ac:dyDescent="0.25">
      <c r="Q14" s="104"/>
      <c r="R14" s="104"/>
      <c r="S14" s="104"/>
    </row>
    <row r="15" spans="2:19" x14ac:dyDescent="0.25">
      <c r="Q15" s="82" t="s">
        <v>222</v>
      </c>
      <c r="R15" s="107"/>
      <c r="S15" s="107"/>
    </row>
    <row r="16" spans="2:19" x14ac:dyDescent="0.25">
      <c r="Q16" s="89" t="s">
        <v>215</v>
      </c>
      <c r="R16" s="107"/>
      <c r="S16" s="108"/>
    </row>
    <row r="17" spans="17:19" x14ac:dyDescent="0.25">
      <c r="Q17" s="90" t="str">
        <f>IF(ISBLANK(D7),"",TEXT(D7,"$#,##0")&amp;" Sub, ")</f>
        <v/>
      </c>
      <c r="R17" s="107"/>
      <c r="S17" s="107"/>
    </row>
    <row r="18" spans="17:19" x14ac:dyDescent="0.25">
      <c r="Q18" s="90" t="str">
        <f t="shared" ref="Q18:Q22" si="0">IF(ISBLANK(D8),"",TEXT(D8,"$#,##0")&amp;" Sub, ")</f>
        <v/>
      </c>
      <c r="R18" s="107"/>
      <c r="S18" s="107"/>
    </row>
    <row r="19" spans="17:19" x14ac:dyDescent="0.25">
      <c r="Q19" s="90" t="str">
        <f t="shared" si="0"/>
        <v/>
      </c>
      <c r="R19" s="107"/>
      <c r="S19" s="107"/>
    </row>
    <row r="20" spans="17:19" x14ac:dyDescent="0.25">
      <c r="Q20" s="90" t="str">
        <f t="shared" si="0"/>
        <v/>
      </c>
      <c r="R20" s="107"/>
      <c r="S20" s="107"/>
    </row>
    <row r="21" spans="17:19" x14ac:dyDescent="0.25">
      <c r="Q21" s="90" t="str">
        <f t="shared" si="0"/>
        <v/>
      </c>
      <c r="R21" s="107"/>
      <c r="S21" s="107"/>
    </row>
    <row r="22" spans="17:19" x14ac:dyDescent="0.25">
      <c r="Q22" s="109" t="str">
        <f t="shared" si="0"/>
        <v/>
      </c>
      <c r="R22" s="107"/>
      <c r="S22" s="107"/>
    </row>
    <row r="24" spans="17:19" x14ac:dyDescent="0.25">
      <c r="Q24" s="81"/>
      <c r="R24" s="82" t="s">
        <v>233</v>
      </c>
    </row>
    <row r="25" spans="17:19" x14ac:dyDescent="0.25">
      <c r="Q25" s="81" t="s">
        <v>232</v>
      </c>
      <c r="R25" s="113">
        <f>SUM(D3:D12)</f>
        <v>0</v>
      </c>
    </row>
    <row r="26" spans="17:19" x14ac:dyDescent="0.25">
      <c r="Q26" s="78"/>
    </row>
    <row r="29" spans="17:19" x14ac:dyDescent="0.25">
      <c r="Q29" s="82"/>
      <c r="R29" s="81"/>
      <c r="S29" s="82"/>
    </row>
    <row r="30" spans="17:19" x14ac:dyDescent="0.25">
      <c r="Q30" s="167"/>
      <c r="R30" s="102"/>
      <c r="S30" s="102"/>
    </row>
  </sheetData>
  <sheetProtection sheet="1" objects="1" scenarios="1"/>
  <mergeCells count="1">
    <mergeCell ref="H8:L11"/>
  </mergeCells>
  <dataValidations count="3">
    <dataValidation allowBlank="1" showInputMessage="1" showErrorMessage="1" prompt="ex. 2122" sqref="R12" xr:uid="{9A475956-CAB7-4CB9-8D84-15686E7DF8A7}"/>
    <dataValidation allowBlank="1" showInputMessage="1" showErrorMessage="1" prompt="yyyymm_x000a_" sqref="D3" xr:uid="{473CBF35-142D-4E10-A99B-7969125BF13A}"/>
    <dataValidation allowBlank="1" showInputMessage="1" showErrorMessage="1" prompt="yyyymm" sqref="D4" xr:uid="{56ECC6FA-D3CA-4766-B8A6-D520BE5C460E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ollClear">
                <anchor moveWithCells="1" sizeWithCells="1">
                  <from>
                    <xdr:col>11</xdr:col>
                    <xdr:colOff>438150</xdr:colOff>
                    <xdr:row>1</xdr:row>
                    <xdr:rowOff>104775</xdr:rowOff>
                  </from>
                  <to>
                    <xdr:col>12</xdr:col>
                    <xdr:colOff>438150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RollCopy">
                <anchor moveWithCells="1" sizeWithCells="1">
                  <from>
                    <xdr:col>11</xdr:col>
                    <xdr:colOff>152400</xdr:colOff>
                    <xdr:row>11</xdr:row>
                    <xdr:rowOff>57150</xdr:rowOff>
                  </from>
                  <to>
                    <xdr:col>12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Check Box 3">
              <controlPr defaultSize="0" autoFill="0" autoLine="0" autoPict="0">
                <anchor moveWithCells="1">
                  <from>
                    <xdr:col>4</xdr:col>
                    <xdr:colOff>371475</xdr:colOff>
                    <xdr:row>1</xdr:row>
                    <xdr:rowOff>38100</xdr:rowOff>
                  </from>
                  <to>
                    <xdr:col>6</xdr:col>
                    <xdr:colOff>161925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31BD5-B599-4470-B6BF-575ABF564BE1}">
  <sheetPr codeName="Sheet11">
    <pageSetUpPr autoPageBreaks="0"/>
  </sheetPr>
  <dimension ref="A1:V32"/>
  <sheetViews>
    <sheetView workbookViewId="0">
      <selection activeCell="D3" sqref="D3"/>
    </sheetView>
  </sheetViews>
  <sheetFormatPr defaultRowHeight="15" x14ac:dyDescent="0.25"/>
  <cols>
    <col min="1" max="1" width="4" customWidth="1"/>
    <col min="2" max="2" width="3.85546875" customWidth="1"/>
    <col min="3" max="3" width="16.28515625" customWidth="1"/>
    <col min="4" max="4" width="12.85546875" customWidth="1"/>
    <col min="5" max="5" width="8.140625" customWidth="1"/>
    <col min="6" max="6" width="9.7109375" customWidth="1"/>
    <col min="14" max="14" width="1.28515625" customWidth="1"/>
    <col min="15" max="15" width="0.42578125" customWidth="1"/>
    <col min="16" max="16" width="9.140625" hidden="1" customWidth="1"/>
    <col min="17" max="17" width="15.42578125" hidden="1" customWidth="1"/>
    <col min="18" max="22" width="9.140625" hidden="1" customWidth="1"/>
    <col min="23" max="25" width="9.140625" customWidth="1"/>
  </cols>
  <sheetData>
    <row r="1" spans="1:21" ht="15" customHeight="1" x14ac:dyDescent="0.25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2" t="s">
        <v>320</v>
      </c>
      <c r="R1" s="82" t="s">
        <v>321</v>
      </c>
      <c r="S1" s="81"/>
    </row>
    <row r="2" spans="1:21" ht="21.75" customHeight="1" x14ac:dyDescent="0.25">
      <c r="A2" s="81"/>
      <c r="B2" s="79"/>
      <c r="C2" s="80"/>
      <c r="D2" s="80"/>
      <c r="E2" s="225"/>
      <c r="F2" s="91"/>
      <c r="G2" s="91"/>
      <c r="H2" s="91"/>
      <c r="I2" s="91"/>
      <c r="J2" s="91"/>
      <c r="K2" s="91"/>
      <c r="L2" s="91"/>
      <c r="M2" s="91"/>
      <c r="N2" s="253"/>
      <c r="O2" s="267" t="str">
        <f>H8</f>
        <v>Empty</v>
      </c>
      <c r="P2" s="81"/>
      <c r="Q2" s="81" t="b">
        <v>1</v>
      </c>
      <c r="R2" s="149" t="b">
        <v>0</v>
      </c>
      <c r="S2" s="81"/>
    </row>
    <row r="3" spans="1:21" x14ac:dyDescent="0.25">
      <c r="A3" s="81"/>
      <c r="B3" s="97"/>
      <c r="C3" s="126" t="s">
        <v>231</v>
      </c>
      <c r="D3" s="256"/>
      <c r="E3" s="219" t="s">
        <v>369</v>
      </c>
      <c r="F3" s="93"/>
      <c r="G3" s="93"/>
      <c r="H3" s="93"/>
      <c r="I3" s="93"/>
      <c r="J3" s="93"/>
      <c r="K3" s="93"/>
      <c r="L3" s="93"/>
      <c r="M3" s="93"/>
      <c r="N3" s="147"/>
      <c r="O3" s="81"/>
      <c r="P3" s="81"/>
      <c r="Q3" s="102"/>
      <c r="R3" s="82"/>
      <c r="S3" s="81"/>
    </row>
    <row r="4" spans="1:21" x14ac:dyDescent="0.25">
      <c r="A4" s="81"/>
      <c r="B4" s="97"/>
      <c r="C4" s="126" t="s">
        <v>230</v>
      </c>
      <c r="D4" s="255"/>
      <c r="E4" s="93"/>
      <c r="F4" s="93"/>
      <c r="G4" s="93"/>
      <c r="H4" s="93"/>
      <c r="I4" s="93"/>
      <c r="J4" s="93"/>
      <c r="K4" s="93"/>
      <c r="L4" s="93"/>
      <c r="M4" s="93"/>
      <c r="N4" s="147"/>
      <c r="O4" s="266"/>
      <c r="P4" s="81"/>
      <c r="Q4" s="102"/>
      <c r="R4" s="82"/>
      <c r="S4" s="81"/>
    </row>
    <row r="5" spans="1:21" x14ac:dyDescent="0.25">
      <c r="A5" s="81"/>
      <c r="B5" s="97"/>
      <c r="C5" s="93"/>
      <c r="D5" s="83"/>
      <c r="E5" s="93"/>
      <c r="F5" s="93"/>
      <c r="G5" s="93"/>
      <c r="H5" s="93"/>
      <c r="I5" s="93"/>
      <c r="J5" s="93"/>
      <c r="K5" s="93"/>
      <c r="L5" s="93"/>
      <c r="M5" s="93"/>
      <c r="N5" s="147"/>
      <c r="O5" s="81"/>
      <c r="P5" s="81"/>
      <c r="Q5" s="82" t="s">
        <v>331</v>
      </c>
      <c r="R5" s="104"/>
      <c r="S5" s="104"/>
    </row>
    <row r="6" spans="1:21" x14ac:dyDescent="0.25">
      <c r="A6" s="81"/>
      <c r="B6" s="97"/>
      <c r="C6" s="98" t="s">
        <v>197</v>
      </c>
      <c r="D6" s="84" t="s">
        <v>209</v>
      </c>
      <c r="E6" s="93"/>
      <c r="F6" s="93"/>
      <c r="G6" s="93"/>
      <c r="H6" s="93"/>
      <c r="I6" s="93"/>
      <c r="J6" s="93"/>
      <c r="K6" s="93"/>
      <c r="L6" s="93"/>
      <c r="M6" s="93"/>
      <c r="N6" s="147"/>
      <c r="O6" s="81"/>
      <c r="P6" s="81"/>
      <c r="Q6" s="177" t="e">
        <f>DATEVALUE(TEXT(D3&amp;"01","0000-00-00"))</f>
        <v>#VALUE!</v>
      </c>
      <c r="R6" s="104"/>
      <c r="S6" s="104"/>
    </row>
    <row r="7" spans="1:21" ht="15" customHeight="1" x14ac:dyDescent="0.25">
      <c r="A7" s="81"/>
      <c r="B7" s="97"/>
      <c r="C7" s="99" t="s">
        <v>210</v>
      </c>
      <c r="D7" s="85"/>
      <c r="E7" s="93"/>
      <c r="F7" s="93"/>
      <c r="G7" s="93"/>
      <c r="H7" s="93"/>
      <c r="I7" s="93"/>
      <c r="J7" s="93"/>
      <c r="K7" s="93"/>
      <c r="L7" s="93"/>
      <c r="M7" s="93"/>
      <c r="N7" s="147"/>
      <c r="O7" s="81"/>
      <c r="P7" s="81"/>
      <c r="Q7" s="86"/>
      <c r="R7" s="104"/>
      <c r="S7" s="104"/>
    </row>
    <row r="8" spans="1:21" ht="15" customHeight="1" x14ac:dyDescent="0.25">
      <c r="A8" s="81"/>
      <c r="B8" s="97"/>
      <c r="C8" s="99" t="s">
        <v>212</v>
      </c>
      <c r="D8" s="85"/>
      <c r="E8" s="93"/>
      <c r="F8" s="93"/>
      <c r="G8" s="129" t="s">
        <v>208</v>
      </c>
      <c r="H8" s="384" t="str">
        <f>IF(Q29="--Misc Notes--",IF(R27&lt;=0,"Empty",IF(R25&lt;=0,"TERM BREAK = "&amp;TEXT(D3,"MM/DD/YYYY")&amp;"-"&amp;TEXT(D4,"MM/DD/YYYY")&amp;". NO CANCEL NEEDED.","TERM BREAK = "&amp;TEXT(D3,"MM/DD/YYYY")&amp;"-"&amp;TEXT(D4,"MM/DD/YYYY")&amp;". Cancelled "&amp;LEFT(U21,LEN(U21)-2)&amp;".")),IFERROR(VLOOKUP(Q29,$Q$31:$R$31,2,FALSE),""))</f>
        <v>Empty</v>
      </c>
      <c r="I8" s="385"/>
      <c r="J8" s="385"/>
      <c r="K8" s="385"/>
      <c r="L8" s="386"/>
      <c r="M8" s="93"/>
      <c r="N8" s="147"/>
      <c r="O8" s="81"/>
      <c r="P8" s="81"/>
      <c r="Q8" s="86"/>
      <c r="R8" s="104"/>
      <c r="S8" s="104"/>
    </row>
    <row r="9" spans="1:21" x14ac:dyDescent="0.25">
      <c r="A9" s="81"/>
      <c r="B9" s="97"/>
      <c r="C9" s="99" t="s">
        <v>201</v>
      </c>
      <c r="D9" s="85"/>
      <c r="E9" s="93"/>
      <c r="F9" s="93"/>
      <c r="G9" s="93"/>
      <c r="H9" s="387"/>
      <c r="I9" s="388"/>
      <c r="J9" s="388"/>
      <c r="K9" s="388"/>
      <c r="L9" s="389"/>
      <c r="M9" s="93"/>
      <c r="N9" s="147"/>
      <c r="O9" s="81"/>
      <c r="P9" s="81"/>
      <c r="Q9" s="103"/>
      <c r="R9" s="104"/>
      <c r="S9" s="104"/>
    </row>
    <row r="10" spans="1:21" x14ac:dyDescent="0.25">
      <c r="A10" s="81"/>
      <c r="B10" s="97"/>
      <c r="C10" s="99" t="s">
        <v>211</v>
      </c>
      <c r="D10" s="85"/>
      <c r="E10" s="93"/>
      <c r="F10" s="93"/>
      <c r="G10" s="93"/>
      <c r="H10" s="387"/>
      <c r="I10" s="388"/>
      <c r="J10" s="388"/>
      <c r="K10" s="388"/>
      <c r="L10" s="389"/>
      <c r="M10" s="93"/>
      <c r="N10" s="147"/>
      <c r="O10" s="81"/>
      <c r="P10" s="81"/>
      <c r="Q10" s="217" t="s">
        <v>375</v>
      </c>
      <c r="R10" s="104" t="s">
        <v>624</v>
      </c>
      <c r="S10" s="212" t="s">
        <v>373</v>
      </c>
      <c r="T10" s="198">
        <v>2324</v>
      </c>
    </row>
    <row r="11" spans="1:21" x14ac:dyDescent="0.25">
      <c r="A11" s="81"/>
      <c r="B11" s="97"/>
      <c r="C11" s="99" t="s">
        <v>203</v>
      </c>
      <c r="D11" s="85"/>
      <c r="E11" s="280"/>
      <c r="F11" s="281"/>
      <c r="G11" s="93"/>
      <c r="H11" s="390"/>
      <c r="I11" s="391"/>
      <c r="J11" s="391"/>
      <c r="K11" s="391"/>
      <c r="L11" s="392"/>
      <c r="M11" s="93"/>
      <c r="N11" s="147"/>
      <c r="O11" s="81"/>
      <c r="P11" s="81"/>
      <c r="Q11" s="221" t="s">
        <v>368</v>
      </c>
      <c r="R11" s="223">
        <v>2122</v>
      </c>
      <c r="S11" s="104"/>
    </row>
    <row r="12" spans="1:21" x14ac:dyDescent="0.25">
      <c r="A12" s="81"/>
      <c r="B12" s="97"/>
      <c r="C12" s="99" t="s">
        <v>204</v>
      </c>
      <c r="D12" s="197"/>
      <c r="E12" s="280"/>
      <c r="F12" s="281"/>
      <c r="G12" s="93"/>
      <c r="H12" s="93"/>
      <c r="I12" s="93"/>
      <c r="J12" s="93"/>
      <c r="K12" s="93"/>
      <c r="L12" s="93"/>
      <c r="M12" s="93"/>
      <c r="N12" s="147"/>
      <c r="O12" s="81"/>
      <c r="P12" s="81"/>
      <c r="Q12" s="221" t="s">
        <v>224</v>
      </c>
      <c r="R12" s="222">
        <v>2223</v>
      </c>
      <c r="S12" s="104"/>
    </row>
    <row r="13" spans="1:21" x14ac:dyDescent="0.25">
      <c r="A13" s="81"/>
      <c r="B13" s="97"/>
      <c r="C13" s="354"/>
      <c r="D13" s="355"/>
      <c r="E13" s="93"/>
      <c r="F13" s="93"/>
      <c r="G13" s="93"/>
      <c r="H13" s="93"/>
      <c r="I13" s="93"/>
      <c r="J13" s="93"/>
      <c r="K13" s="93"/>
      <c r="L13" s="93"/>
      <c r="M13" s="93"/>
      <c r="N13" s="147"/>
      <c r="O13" s="81"/>
      <c r="P13" s="81"/>
      <c r="Q13" s="221" t="s">
        <v>225</v>
      </c>
      <c r="R13" s="222">
        <v>2324</v>
      </c>
      <c r="S13" s="104"/>
    </row>
    <row r="14" spans="1:21" x14ac:dyDescent="0.25">
      <c r="A14" s="81"/>
      <c r="B14" s="146"/>
      <c r="C14" s="349"/>
      <c r="D14" s="356"/>
      <c r="E14" s="220"/>
      <c r="F14" s="220"/>
      <c r="G14" s="220"/>
      <c r="H14" s="220"/>
      <c r="I14" s="220"/>
      <c r="J14" s="220"/>
      <c r="K14" s="220"/>
      <c r="L14" s="220"/>
      <c r="M14" s="220"/>
      <c r="N14" s="147"/>
      <c r="O14" s="81"/>
      <c r="P14" s="81"/>
      <c r="Q14" s="213" t="s">
        <v>214</v>
      </c>
      <c r="R14" s="104"/>
      <c r="S14" s="213" t="s">
        <v>215</v>
      </c>
      <c r="T14" s="212" t="s">
        <v>322</v>
      </c>
    </row>
    <row r="15" spans="1:21" x14ac:dyDescent="0.25">
      <c r="A15" s="81"/>
      <c r="B15" s="146"/>
      <c r="C15" s="234" t="s">
        <v>359</v>
      </c>
      <c r="D15" s="234"/>
      <c r="E15" s="234"/>
      <c r="F15" s="234"/>
      <c r="G15" s="234"/>
      <c r="H15" s="234" t="s">
        <v>362</v>
      </c>
      <c r="I15" s="234"/>
      <c r="J15" s="234"/>
      <c r="K15" s="234"/>
      <c r="L15" s="234"/>
      <c r="M15" s="234"/>
      <c r="N15" s="147"/>
      <c r="O15" s="81"/>
      <c r="P15" s="106"/>
      <c r="Q15" s="258" t="str">
        <f>IF(ISBLANK(F11),"",TEXT(F11,"$#,##0")&amp;" DLUST3 fund code since the DL3 funds were intended for Term2 tuition increase  ")</f>
        <v/>
      </c>
      <c r="R15" s="107"/>
      <c r="S15" s="260" t="str">
        <f>IF(ISBLANK(F11),"",TEXT(F11,"$#,##0")&amp;" DLUST3 fund code since the DL3 funds were intended for Term2 tuition increase  ")</f>
        <v/>
      </c>
      <c r="U15" s="343" t="str">
        <f>IF(Q2,Q23&amp;Q24&amp;Q17&amp;Q18&amp;Q19&amp;Q20&amp;Q21&amp;Q22&amp;Q15&amp;Q16,S23&amp;S24&amp;S17&amp;S18&amp;S19&amp;S20&amp;S21&amp;S22&amp;S15&amp;S16)</f>
        <v/>
      </c>
    </row>
    <row r="16" spans="1:21" x14ac:dyDescent="0.25">
      <c r="A16" s="81"/>
      <c r="B16" s="240"/>
      <c r="C16" s="399"/>
      <c r="D16" s="400"/>
      <c r="E16" s="400"/>
      <c r="F16" s="401"/>
      <c r="G16" s="234"/>
      <c r="H16" s="396" t="s">
        <v>360</v>
      </c>
      <c r="I16" s="396"/>
      <c r="J16" s="396" t="s">
        <v>361</v>
      </c>
      <c r="K16" s="396"/>
      <c r="L16" s="396" t="str">
        <f>IF(ISBLANK(D10),IF(ISBLANK(D9),"Pell Grant","Pell Grant/FSEOG"),IF(ISBLANK(D9),"Pell Grant/Teach","Pell Grant/FSEOG/Teach"))</f>
        <v>Pell Grant</v>
      </c>
      <c r="M16" s="396"/>
      <c r="N16" s="147"/>
      <c r="O16" s="81"/>
      <c r="P16" s="106"/>
      <c r="Q16" s="258" t="str">
        <f>IF(ISBLANK(F12),"",TEXT(F12,"$#,##0")&amp;" DLST3 fund code since the DL3 funds were intended for Term2 tuition increase  ")</f>
        <v/>
      </c>
      <c r="R16" s="107"/>
      <c r="S16" s="259" t="str">
        <f>IF(ISBLANK(F12),"",TEXT(F12,"$#,##0")&amp;" DLST3 fund code since the DL3 funds were intended for Term2 tuition increase  ")</f>
        <v/>
      </c>
      <c r="T16" s="212"/>
    </row>
    <row r="17" spans="1:21" x14ac:dyDescent="0.25">
      <c r="A17" s="81"/>
      <c r="B17" s="240"/>
      <c r="C17" s="402"/>
      <c r="D17" s="403"/>
      <c r="E17" s="403"/>
      <c r="F17" s="404"/>
      <c r="G17" s="234"/>
      <c r="H17" s="408">
        <f>SUM(D12,F12)</f>
        <v>0</v>
      </c>
      <c r="I17" s="409"/>
      <c r="J17" s="408">
        <f>SUM(D11,F11)</f>
        <v>0</v>
      </c>
      <c r="K17" s="409"/>
      <c r="L17" s="408" t="str">
        <f>IF(ISBLANK(D10),IF(ISBLANK(D9),TEXT(D7,"$#,##0"),TEXT(D7,"$#,##0")&amp;"/"&amp;TEXT(D9,"$#,##0")),IF(ISBLANK(D9),TEXT(D7,"$#,##0")&amp;"/"&amp;TEXT(D10,"$#,##0"),TEXT(D7,"$#,##0")&amp;"/"&amp;TEXT(D9,"$#,##0")&amp;"/"&amp;TEXT(D9,"$#,##0")))</f>
        <v>$0</v>
      </c>
      <c r="M17" s="408"/>
      <c r="N17" s="147"/>
      <c r="O17" s="81"/>
      <c r="P17" s="106"/>
      <c r="Q17" s="90" t="str">
        <f>IF(ISBLANK(D12),"",TEXT(D12,"$#,##0")&amp;" Sub, ")</f>
        <v/>
      </c>
      <c r="R17" s="107"/>
      <c r="S17" s="90" t="str">
        <f>IF(ISBLANK(D12),"",TEXT(D12,"$#,##0")&amp;" Sub2, ")</f>
        <v/>
      </c>
    </row>
    <row r="18" spans="1:21" x14ac:dyDescent="0.25">
      <c r="A18" s="81"/>
      <c r="B18" s="240"/>
      <c r="C18" s="402"/>
      <c r="D18" s="403"/>
      <c r="E18" s="403"/>
      <c r="F18" s="404"/>
      <c r="G18" s="234"/>
      <c r="H18" s="234"/>
      <c r="I18" s="234"/>
      <c r="J18" s="234"/>
      <c r="K18" s="234"/>
      <c r="L18" s="234"/>
      <c r="M18" s="234"/>
      <c r="N18" s="147"/>
      <c r="O18" s="81"/>
      <c r="P18" s="106"/>
      <c r="Q18" s="90" t="str">
        <f>IF(ISBLANK(D11),"",TEXT(D11,"$#,##0")&amp;" Unsub, ")</f>
        <v/>
      </c>
      <c r="R18" s="107"/>
      <c r="S18" s="90" t="str">
        <f>IF(ISBLANK(D11),"",TEXT(D11,"$#,##0")&amp;" Unsub2, ")</f>
        <v/>
      </c>
      <c r="U18" s="343" t="str">
        <f>U15</f>
        <v/>
      </c>
    </row>
    <row r="19" spans="1:21" x14ac:dyDescent="0.25">
      <c r="A19" s="81"/>
      <c r="B19" s="240"/>
      <c r="C19" s="402"/>
      <c r="D19" s="403"/>
      <c r="E19" s="403"/>
      <c r="F19" s="404"/>
      <c r="G19" s="234"/>
      <c r="H19" s="234"/>
      <c r="I19" s="234"/>
      <c r="J19" s="234"/>
      <c r="K19" s="234"/>
      <c r="L19" s="234"/>
      <c r="M19" s="234"/>
      <c r="N19" s="147"/>
      <c r="O19" s="81"/>
      <c r="P19" s="106"/>
      <c r="Q19" s="90" t="str">
        <f>IF(ISBLANK(D7),"",TEXT(D7,"$#,##0")&amp;" "&amp;R10&amp;" Pell, ")</f>
        <v/>
      </c>
      <c r="R19" s="107"/>
      <c r="S19" s="90" t="str">
        <f>IF(ISBLANK(D7),"",TEXT(D7,"$#,##0")&amp;" "&amp;R10&amp;" Term2 Pell, ")</f>
        <v/>
      </c>
    </row>
    <row r="20" spans="1:21" x14ac:dyDescent="0.25">
      <c r="A20" s="81"/>
      <c r="B20" s="240"/>
      <c r="C20" s="402"/>
      <c r="D20" s="403"/>
      <c r="E20" s="403"/>
      <c r="F20" s="404"/>
      <c r="G20" s="234"/>
      <c r="H20" s="234"/>
      <c r="I20" s="234"/>
      <c r="J20" s="234"/>
      <c r="K20" s="234"/>
      <c r="L20" s="234"/>
      <c r="M20" s="234"/>
      <c r="N20" s="147"/>
      <c r="O20" s="81"/>
      <c r="P20" s="106"/>
      <c r="Q20" s="90" t="str">
        <f>IF(ISBLANK(D8),"",TEXT(D8,"$#,##0")&amp;" "&amp;T10&amp;" Est Pell, ")</f>
        <v/>
      </c>
      <c r="R20" s="107"/>
      <c r="S20" s="90" t="str">
        <f>IF(ISBLANK(D8),"",TEXT(D8,"$#,##0")&amp;" "&amp;T10&amp;" Est Pell, ")</f>
        <v/>
      </c>
    </row>
    <row r="21" spans="1:21" x14ac:dyDescent="0.25">
      <c r="A21" s="81"/>
      <c r="B21" s="240"/>
      <c r="C21" s="405"/>
      <c r="D21" s="406"/>
      <c r="E21" s="406"/>
      <c r="F21" s="407"/>
      <c r="G21" s="234"/>
      <c r="H21" s="234"/>
      <c r="I21" s="234"/>
      <c r="J21" s="234"/>
      <c r="K21" s="234"/>
      <c r="L21" s="234"/>
      <c r="M21" s="234"/>
      <c r="N21" s="147"/>
      <c r="O21" s="81"/>
      <c r="P21" s="106"/>
      <c r="Q21" s="90" t="str">
        <f>IF(ISBLANK(D10),"",TEXT(D10,"$#,##0")&amp;" "&amp;R10&amp;" Teach, ")</f>
        <v/>
      </c>
      <c r="R21" s="107"/>
      <c r="S21" s="90" t="str">
        <f>IF(ISBLANK(D10),"",TEXT(D10,"$#,##0")&amp;" "&amp;R10&amp;" Term2 Teach, ")</f>
        <v/>
      </c>
      <c r="U21" s="343" t="str">
        <f>LEFT(U18,LEN(U18)-0)</f>
        <v/>
      </c>
    </row>
    <row r="22" spans="1:21" x14ac:dyDescent="0.25">
      <c r="A22" s="81"/>
      <c r="B22" s="144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145"/>
      <c r="O22" s="81"/>
      <c r="P22" s="106"/>
      <c r="Q22" s="109" t="str">
        <f>IF(ISBLANK(D9),"",TEXT(D9,"$#,##0")&amp;" "&amp;$R$10&amp;" FSEOG, ")</f>
        <v/>
      </c>
      <c r="R22" s="107"/>
      <c r="S22" s="109" t="str">
        <f>IF(ISBLANK(D9),"",TEXT(D9,"$#,##0")&amp;" "&amp;$R$10&amp;" Term2 FSEOG, ")</f>
        <v/>
      </c>
    </row>
    <row r="23" spans="1:21" x14ac:dyDescent="0.25">
      <c r="B23" s="81"/>
      <c r="C23" s="81"/>
      <c r="D23" s="81"/>
      <c r="E23" s="81"/>
      <c r="F23" s="81"/>
      <c r="G23" s="81"/>
      <c r="Q23" s="109" t="str">
        <f>IF(ISBLANK(D13),"",TEXT(D13,"$#,##0")&amp;" "&amp;$R$10&amp;" "&amp;C13&amp;", ")</f>
        <v/>
      </c>
      <c r="S23" s="109" t="str">
        <f>IF(ISBLANK(D13),"",TEXT(D13,"$#,##0")&amp;" "&amp;$R$10&amp;" Term2 "&amp;C13&amp;", ")</f>
        <v/>
      </c>
    </row>
    <row r="24" spans="1:21" x14ac:dyDescent="0.25">
      <c r="Q24" s="109" t="str">
        <f>IF(ISBLANK(D14),"",TEXT(D14,"$#,##0")&amp;" "&amp;$R$10&amp;" "&amp;C14&amp;", ")</f>
        <v/>
      </c>
      <c r="R24" s="82"/>
      <c r="S24" s="109" t="str">
        <f>IF(ISBLANK(D14),"",TEXT(D14,"$#,##0")&amp;" "&amp;$R$10&amp;" Term2 "&amp;C14&amp;", ")</f>
        <v/>
      </c>
    </row>
    <row r="25" spans="1:21" x14ac:dyDescent="0.25">
      <c r="Q25" s="81" t="s">
        <v>341</v>
      </c>
      <c r="R25" s="168">
        <f>SUM(D7:D14,F11:F12)</f>
        <v>0</v>
      </c>
      <c r="S25" s="82" t="s">
        <v>344</v>
      </c>
    </row>
    <row r="26" spans="1:21" x14ac:dyDescent="0.25">
      <c r="Q26" s="78" t="s">
        <v>340</v>
      </c>
      <c r="R26" s="262">
        <f>SUM(D3:D4)</f>
        <v>0</v>
      </c>
      <c r="S26" s="78" t="s">
        <v>342</v>
      </c>
    </row>
    <row r="27" spans="1:21" x14ac:dyDescent="0.25">
      <c r="Q27" t="s">
        <v>343</v>
      </c>
      <c r="R27" s="185">
        <f>SUM(D3:D14,F11:F12)</f>
        <v>0</v>
      </c>
      <c r="S27" s="82" t="s">
        <v>233</v>
      </c>
    </row>
    <row r="28" spans="1:21" x14ac:dyDescent="0.25">
      <c r="Q28" s="198" t="b">
        <v>0</v>
      </c>
    </row>
    <row r="29" spans="1:21" x14ac:dyDescent="0.25">
      <c r="Q29" s="82" t="s">
        <v>416</v>
      </c>
      <c r="R29" s="212" t="s">
        <v>417</v>
      </c>
      <c r="S29" s="82"/>
    </row>
    <row r="30" spans="1:21" x14ac:dyDescent="0.25">
      <c r="Q30" s="254" t="s">
        <v>405</v>
      </c>
      <c r="R30" s="102"/>
      <c r="S30" s="102"/>
    </row>
    <row r="31" spans="1:21" x14ac:dyDescent="0.25">
      <c r="Q31" s="257" t="s">
        <v>418</v>
      </c>
      <c r="R31" s="233" t="str">
        <f>IF(R26=0,"**Please enter the Term Break Start and Term Break End dates**","TERM BREAK = "&amp;TEXT(D3,"MM/DD/YYYY")&amp;"-"&amp;TEXT(D4,"MM/DD/YYYY")&amp;". NO CANCEL NEEDED, FUTURE FUNDS ALREADY CANCELLED THROUGH AUTOMATED PROCESS.")</f>
        <v>**Please enter the Term Break Start and Term Break End dates**</v>
      </c>
    </row>
    <row r="32" spans="1:21" x14ac:dyDescent="0.25">
      <c r="Q32" s="263"/>
    </row>
  </sheetData>
  <sheetProtection formatCells="0" formatColumns="0" formatRows="0"/>
  <mergeCells count="8">
    <mergeCell ref="C16:F21"/>
    <mergeCell ref="H8:L11"/>
    <mergeCell ref="H16:I16"/>
    <mergeCell ref="J16:K16"/>
    <mergeCell ref="L16:M16"/>
    <mergeCell ref="H17:I17"/>
    <mergeCell ref="J17:K17"/>
    <mergeCell ref="L17:M17"/>
  </mergeCells>
  <dataValidations count="2">
    <dataValidation allowBlank="1" showInputMessage="1" showErrorMessage="1" prompt="ex. 2122" sqref="R12" xr:uid="{6B9DDD94-DB0E-4778-BD05-9BB6B234C163}"/>
    <dataValidation allowBlank="1" showInputMessage="1" showErrorMessage="1" prompt="mm/dd/yyyy" sqref="D3:D4" xr:uid="{4F0CE7D7-C86C-46A0-9BA6-ABE814E87CF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omboBox1">
          <controlPr defaultSize="0" autoLine="0" linkedCell="R10" listFillRange="R11:R13" r:id="rId5">
            <anchor moveWithCells="1">
              <from>
                <xdr:col>5</xdr:col>
                <xdr:colOff>47625</xdr:colOff>
                <xdr:row>1</xdr:row>
                <xdr:rowOff>219075</xdr:rowOff>
              </from>
              <to>
                <xdr:col>6</xdr:col>
                <xdr:colOff>104775</xdr:colOff>
                <xdr:row>3</xdr:row>
                <xdr:rowOff>0</xdr:rowOff>
              </to>
            </anchor>
          </controlPr>
        </control>
      </mc:Choice>
      <mc:Fallback>
        <control shapeId="12293" r:id="rId4" name="ComboBox1"/>
      </mc:Fallback>
    </mc:AlternateContent>
    <mc:AlternateContent xmlns:mc="http://schemas.openxmlformats.org/markup-compatibility/2006">
      <mc:Choice Requires="x14">
        <control shapeId="12292" r:id="rId6" name="Term2">
          <controlPr defaultSize="0" autoLine="0" autoPict="0" linkedCell="R2" r:id="rId7">
            <anchor moveWithCells="1">
              <from>
                <xdr:col>2</xdr:col>
                <xdr:colOff>752475</xdr:colOff>
                <xdr:row>1</xdr:row>
                <xdr:rowOff>28575</xdr:rowOff>
              </from>
              <to>
                <xdr:col>3</xdr:col>
                <xdr:colOff>523875</xdr:colOff>
                <xdr:row>1</xdr:row>
                <xdr:rowOff>257175</xdr:rowOff>
              </to>
            </anchor>
          </controlPr>
        </control>
      </mc:Choice>
      <mc:Fallback>
        <control shapeId="12292" r:id="rId6" name="Term2"/>
      </mc:Fallback>
    </mc:AlternateContent>
    <mc:AlternateContent xmlns:mc="http://schemas.openxmlformats.org/markup-compatibility/2006">
      <mc:Choice Requires="x14">
        <control shapeId="12291" r:id="rId8" name="Term1">
          <controlPr defaultSize="0" autoLine="0" autoPict="0" linkedCell="Q2" r:id="rId9">
            <anchor moveWithCells="1">
              <from>
                <xdr:col>2</xdr:col>
                <xdr:colOff>76200</xdr:colOff>
                <xdr:row>1</xdr:row>
                <xdr:rowOff>19050</xdr:rowOff>
              </from>
              <to>
                <xdr:col>2</xdr:col>
                <xdr:colOff>714375</xdr:colOff>
                <xdr:row>1</xdr:row>
                <xdr:rowOff>276225</xdr:rowOff>
              </to>
            </anchor>
          </controlPr>
        </control>
      </mc:Choice>
      <mc:Fallback>
        <control shapeId="12291" r:id="rId8" name="Term1"/>
      </mc:Fallback>
    </mc:AlternateContent>
    <mc:AlternateContent xmlns:mc="http://schemas.openxmlformats.org/markup-compatibility/2006">
      <mc:Choice Requires="x14">
        <control shapeId="12294" r:id="rId10" name="MiscNotes">
          <controlPr defaultSize="0" autoLine="0" linkedCell="Q29" listFillRange="Q31" r:id="rId11">
            <anchor moveWithCells="1">
              <from>
                <xdr:col>7</xdr:col>
                <xdr:colOff>28575</xdr:colOff>
                <xdr:row>1</xdr:row>
                <xdr:rowOff>209550</xdr:rowOff>
              </from>
              <to>
                <xdr:col>11</xdr:col>
                <xdr:colOff>228600</xdr:colOff>
                <xdr:row>2</xdr:row>
                <xdr:rowOff>180975</xdr:rowOff>
              </to>
            </anchor>
          </controlPr>
        </control>
      </mc:Choice>
      <mc:Fallback>
        <control shapeId="12294" r:id="rId10" name="MiscNotes"/>
      </mc:Fallback>
    </mc:AlternateContent>
    <mc:AlternateContent xmlns:mc="http://schemas.openxmlformats.org/markup-compatibility/2006">
      <mc:Choice Requires="x14">
        <control shapeId="12295" r:id="rId12" name="threeFund">
          <controlPr defaultSize="0" autoLine="0" linkedCell="Q28" r:id="rId13">
            <anchor moveWithCells="1">
              <from>
                <xdr:col>4</xdr:col>
                <xdr:colOff>133350</xdr:colOff>
                <xdr:row>4</xdr:row>
                <xdr:rowOff>142875</xdr:rowOff>
              </from>
              <to>
                <xdr:col>6</xdr:col>
                <xdr:colOff>38100</xdr:colOff>
                <xdr:row>6</xdr:row>
                <xdr:rowOff>38100</xdr:rowOff>
              </to>
            </anchor>
          </controlPr>
        </control>
      </mc:Choice>
      <mc:Fallback>
        <control shapeId="12295" r:id="rId12" name="threeFund"/>
      </mc:Fallback>
    </mc:AlternateContent>
    <mc:AlternateContent xmlns:mc="http://schemas.openxmlformats.org/markup-compatibility/2006">
      <mc:Choice Requires="x14">
        <control shapeId="12289" r:id="rId14" name="Button 1">
          <controlPr defaultSize="0" print="0" autoFill="0" autoPict="0" macro="[0]!TBClear">
            <anchor moveWithCells="1" sizeWithCells="1">
              <from>
                <xdr:col>11</xdr:col>
                <xdr:colOff>552450</xdr:colOff>
                <xdr:row>1</xdr:row>
                <xdr:rowOff>133350</xdr:rowOff>
              </from>
              <to>
                <xdr:col>12</xdr:col>
                <xdr:colOff>552450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15" name="Button 2">
          <controlPr defaultSize="0" print="0" autoFill="0" autoPict="0" macro="[0]!TBCopy">
            <anchor moveWithCells="1" sizeWithCells="1">
              <from>
                <xdr:col>11</xdr:col>
                <xdr:colOff>152400</xdr:colOff>
                <xdr:row>11</xdr:row>
                <xdr:rowOff>57150</xdr:rowOff>
              </from>
              <to>
                <xdr:col>12</xdr:col>
                <xdr:colOff>9525</xdr:colOff>
                <xdr:row>12</xdr:row>
                <xdr:rowOff>104775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ECCC3-5063-4169-80D8-A5DFF3AE65B1}">
  <sheetPr codeName="Sheet4">
    <pageSetUpPr autoPageBreaks="0"/>
  </sheetPr>
  <dimension ref="B1:X33"/>
  <sheetViews>
    <sheetView workbookViewId="0">
      <selection activeCell="G28" sqref="G28"/>
    </sheetView>
  </sheetViews>
  <sheetFormatPr defaultColWidth="9.140625" defaultRowHeight="15" x14ac:dyDescent="0.25"/>
  <cols>
    <col min="1" max="1" width="3.140625" style="81" customWidth="1"/>
    <col min="2" max="2" width="3.28515625" style="81" customWidth="1"/>
    <col min="3" max="3" width="10.42578125" style="81" customWidth="1"/>
    <col min="4" max="4" width="13.28515625" style="81" customWidth="1"/>
    <col min="5" max="5" width="13.42578125" style="81" customWidth="1"/>
    <col min="6" max="13" width="9.140625" style="81"/>
    <col min="14" max="14" width="1.28515625" style="81" customWidth="1"/>
    <col min="15" max="15" width="0.42578125" style="81" customWidth="1"/>
    <col min="16" max="16" width="9.140625" style="81" customWidth="1"/>
    <col min="17" max="17" width="22.85546875" style="81" hidden="1" customWidth="1"/>
    <col min="18" max="18" width="9.140625" style="81" hidden="1" customWidth="1"/>
    <col min="19" max="19" width="21" style="81" hidden="1" customWidth="1"/>
    <col min="20" max="24" width="9.140625" style="81" hidden="1" customWidth="1"/>
    <col min="25" max="25" width="9.140625" style="81" customWidth="1"/>
    <col min="26" max="16384" width="9.140625" style="81"/>
  </cols>
  <sheetData>
    <row r="1" spans="2:23" x14ac:dyDescent="0.25">
      <c r="Q1" s="82" t="s">
        <v>323</v>
      </c>
      <c r="R1" s="82" t="s">
        <v>326</v>
      </c>
    </row>
    <row r="2" spans="2:23" ht="22.5" customHeight="1" x14ac:dyDescent="0.25">
      <c r="B2" s="79"/>
      <c r="C2" s="80"/>
      <c r="D2" s="80"/>
      <c r="E2" s="225"/>
      <c r="F2" s="91"/>
      <c r="G2" s="91"/>
      <c r="H2" s="91"/>
      <c r="I2" s="91"/>
      <c r="J2" s="91"/>
      <c r="K2" s="91"/>
      <c r="L2" s="91"/>
      <c r="M2" s="91"/>
      <c r="N2" s="253"/>
      <c r="O2" s="267" t="str">
        <f>H7</f>
        <v>Empty</v>
      </c>
      <c r="Q2" s="81" t="b">
        <v>1</v>
      </c>
      <c r="R2" s="149" t="b">
        <v>0</v>
      </c>
    </row>
    <row r="3" spans="2:23" x14ac:dyDescent="0.25">
      <c r="B3" s="97"/>
      <c r="C3" s="128" t="s">
        <v>213</v>
      </c>
      <c r="D3" s="119"/>
      <c r="E3" s="199" t="s">
        <v>371</v>
      </c>
      <c r="F3" s="93"/>
      <c r="G3" s="93"/>
      <c r="H3" s="93"/>
      <c r="I3" s="93"/>
      <c r="J3" s="93"/>
      <c r="K3" s="93"/>
      <c r="L3" s="93"/>
      <c r="M3" s="93"/>
      <c r="N3" s="147"/>
    </row>
    <row r="4" spans="2:23" x14ac:dyDescent="0.25">
      <c r="B4" s="97"/>
      <c r="C4" s="93"/>
      <c r="D4" s="83"/>
      <c r="E4" s="93"/>
      <c r="F4" s="93"/>
      <c r="G4" s="93"/>
      <c r="H4" s="93"/>
      <c r="I4" s="93"/>
      <c r="J4" s="93"/>
      <c r="K4" s="93"/>
      <c r="L4" s="93"/>
      <c r="M4" s="93"/>
      <c r="N4" s="147"/>
    </row>
    <row r="5" spans="2:23" x14ac:dyDescent="0.25">
      <c r="B5" s="97"/>
      <c r="C5" s="98" t="s">
        <v>197</v>
      </c>
      <c r="D5" s="364" t="s">
        <v>209</v>
      </c>
      <c r="E5" s="146"/>
      <c r="F5" s="93"/>
      <c r="G5" s="93"/>
      <c r="H5" s="93"/>
      <c r="I5" s="93"/>
      <c r="J5" s="93"/>
      <c r="K5" s="93"/>
      <c r="L5" s="93"/>
      <c r="M5" s="93"/>
      <c r="N5" s="147"/>
      <c r="S5" s="82" t="s">
        <v>220</v>
      </c>
    </row>
    <row r="6" spans="2:23" x14ac:dyDescent="0.25">
      <c r="B6" s="97"/>
      <c r="C6" s="363" t="s">
        <v>210</v>
      </c>
      <c r="D6" s="365"/>
      <c r="E6" s="369"/>
      <c r="F6" s="93"/>
      <c r="G6" s="93"/>
      <c r="H6" s="93"/>
      <c r="I6" s="93"/>
      <c r="J6" s="93"/>
      <c r="K6" s="93"/>
      <c r="L6" s="93"/>
      <c r="M6" s="93"/>
      <c r="N6" s="147"/>
      <c r="Q6" s="86" t="str">
        <f>"Term 2 100% COMPLETE. Cancelled future award " &amp;S24&amp;S25&amp;S18&amp;S19&amp;S20&amp;S21&amp;S22&amp;S23</f>
        <v xml:space="preserve">Term 2 100% COMPLETE. Cancelled future award </v>
      </c>
      <c r="S6" s="81" t="str">
        <f>IF(Q2,"Term1 100% COMPLETE. No Cancel","Term2 100% COMPLETE. No Cancel")</f>
        <v>Term1 100% COMPLETE. No Cancel</v>
      </c>
    </row>
    <row r="7" spans="2:23" x14ac:dyDescent="0.25">
      <c r="B7" s="97"/>
      <c r="C7" s="363" t="s">
        <v>212</v>
      </c>
      <c r="D7" s="366"/>
      <c r="E7" s="369"/>
      <c r="F7" s="93"/>
      <c r="G7" s="129" t="s">
        <v>208</v>
      </c>
      <c r="H7" s="384" t="str">
        <f>IF(R29="--Misc Notes--",IF(R26&lt;=0,"Empty",IF(R27&lt;=0,"GRADUATED = "&amp;TEXT(D3,"MM/DD/YYYY")&amp;". "&amp;S6,"GRADUATED = "&amp;TEXT(D3,"MM/DD/YYYY")&amp;". "&amp;LEFT(Q11,LEN(Q11)-2))&amp;"."),IFERROR(VLOOKUP(R29,$Q$31:$R$33,2,FALSE),""))</f>
        <v>Empty</v>
      </c>
      <c r="I7" s="385"/>
      <c r="J7" s="385"/>
      <c r="K7" s="385"/>
      <c r="L7" s="386"/>
      <c r="M7" s="93"/>
      <c r="N7" s="147"/>
      <c r="Q7" s="86" t="str">
        <f>"Term1 100% COMPLETE. Cancelled "&amp;Q24&amp;Q25&amp;Q18&amp;Q19&amp;Q20&amp;Q21&amp;Q22&amp;Q23&amp;""</f>
        <v xml:space="preserve">Term1 100% COMPLETE. Cancelled </v>
      </c>
    </row>
    <row r="8" spans="2:23" x14ac:dyDescent="0.25">
      <c r="B8" s="97"/>
      <c r="C8" s="363" t="s">
        <v>201</v>
      </c>
      <c r="D8" s="366"/>
      <c r="E8" s="369"/>
      <c r="F8" s="93"/>
      <c r="G8" s="93"/>
      <c r="H8" s="387"/>
      <c r="I8" s="388"/>
      <c r="J8" s="388"/>
      <c r="K8" s="388"/>
      <c r="L8" s="389"/>
      <c r="M8" s="93"/>
      <c r="N8" s="147"/>
      <c r="Q8" s="86"/>
    </row>
    <row r="9" spans="2:23" x14ac:dyDescent="0.25">
      <c r="B9" s="97"/>
      <c r="C9" s="363" t="s">
        <v>211</v>
      </c>
      <c r="D9" s="366"/>
      <c r="E9" s="369"/>
      <c r="F9" s="93"/>
      <c r="G9" s="93"/>
      <c r="H9" s="387"/>
      <c r="I9" s="388"/>
      <c r="J9" s="388"/>
      <c r="K9" s="388"/>
      <c r="L9" s="389"/>
      <c r="M9" s="93"/>
      <c r="N9" s="147"/>
      <c r="Q9" s="82" t="s">
        <v>218</v>
      </c>
    </row>
    <row r="10" spans="2:23" x14ac:dyDescent="0.25">
      <c r="B10" s="97"/>
      <c r="C10" s="363" t="s">
        <v>203</v>
      </c>
      <c r="D10" s="366"/>
      <c r="E10" s="369"/>
      <c r="F10" s="93"/>
      <c r="G10" s="93"/>
      <c r="H10" s="390"/>
      <c r="I10" s="391"/>
      <c r="J10" s="391"/>
      <c r="K10" s="391"/>
      <c r="L10" s="392"/>
      <c r="M10" s="93"/>
      <c r="N10" s="147"/>
      <c r="Q10" s="81" t="str">
        <f>IF(Q2,Q7,Q6)</f>
        <v xml:space="preserve">Term1 100% COMPLETE. Cancelled </v>
      </c>
    </row>
    <row r="11" spans="2:23" x14ac:dyDescent="0.25">
      <c r="B11" s="97"/>
      <c r="C11" s="363" t="s">
        <v>204</v>
      </c>
      <c r="D11" s="366"/>
      <c r="E11" s="369"/>
      <c r="F11" s="93"/>
      <c r="G11" s="93"/>
      <c r="H11" s="93"/>
      <c r="I11" s="93"/>
      <c r="J11" s="93"/>
      <c r="K11" s="93"/>
      <c r="L11" s="93"/>
      <c r="M11" s="93"/>
      <c r="N11" s="147"/>
      <c r="Q11" s="81" t="str">
        <f>Q10</f>
        <v xml:space="preserve">Term1 100% COMPLETE. Cancelled </v>
      </c>
      <c r="S11" s="82" t="s">
        <v>327</v>
      </c>
    </row>
    <row r="12" spans="2:23" x14ac:dyDescent="0.25">
      <c r="B12" s="97"/>
      <c r="C12" s="353"/>
      <c r="D12" s="367"/>
      <c r="E12" s="370"/>
      <c r="F12" s="93"/>
      <c r="G12" s="93"/>
      <c r="H12" s="93"/>
      <c r="I12" s="93"/>
      <c r="J12" s="93"/>
      <c r="K12" s="93"/>
      <c r="L12" s="93"/>
      <c r="M12" s="93"/>
      <c r="N12" s="147"/>
      <c r="Q12" s="221" t="s">
        <v>368</v>
      </c>
      <c r="R12" s="223">
        <v>2122</v>
      </c>
      <c r="S12" s="217"/>
      <c r="T12" s="360"/>
      <c r="U12" s="212"/>
      <c r="V12" s="167"/>
    </row>
    <row r="13" spans="2:23" x14ac:dyDescent="0.25">
      <c r="B13" s="146"/>
      <c r="C13" s="351"/>
      <c r="D13" s="368"/>
      <c r="E13" s="370"/>
      <c r="F13" s="220"/>
      <c r="G13" s="220"/>
      <c r="H13" s="220"/>
      <c r="I13" s="220"/>
      <c r="J13" s="220"/>
      <c r="K13" s="220"/>
      <c r="L13" s="220"/>
      <c r="M13" s="220"/>
      <c r="N13" s="147"/>
      <c r="Q13" s="221" t="s">
        <v>224</v>
      </c>
      <c r="R13" s="222">
        <v>2223</v>
      </c>
    </row>
    <row r="14" spans="2:23" x14ac:dyDescent="0.25">
      <c r="B14" s="146"/>
      <c r="C14" s="234" t="s">
        <v>359</v>
      </c>
      <c r="D14" s="234"/>
      <c r="E14" s="234"/>
      <c r="F14" s="234"/>
      <c r="G14" s="234"/>
      <c r="H14" s="234" t="s">
        <v>362</v>
      </c>
      <c r="I14" s="234"/>
      <c r="J14" s="234"/>
      <c r="K14" s="234"/>
      <c r="L14" s="234"/>
      <c r="M14" s="234"/>
      <c r="N14" s="147"/>
      <c r="Q14" s="221" t="s">
        <v>225</v>
      </c>
      <c r="R14" s="222">
        <v>2324</v>
      </c>
    </row>
    <row r="15" spans="2:23" x14ac:dyDescent="0.25">
      <c r="B15" s="240"/>
      <c r="C15" s="399"/>
      <c r="D15" s="400"/>
      <c r="E15" s="400"/>
      <c r="F15" s="401"/>
      <c r="G15" s="234"/>
      <c r="H15" s="396" t="s">
        <v>360</v>
      </c>
      <c r="I15" s="396"/>
      <c r="J15" s="396" t="s">
        <v>361</v>
      </c>
      <c r="K15" s="396"/>
      <c r="L15" s="396" t="str">
        <f>IF(ISBLANK(D9),IF(ISBLANK(D8),"Pell Grant","Pell Grant/FSEOG"),IF(ISBLANK(D8),"Pell Grant/Teach","Pell Grant/FSEOG/Teach"))</f>
        <v>Pell Grant</v>
      </c>
      <c r="M15" s="396"/>
      <c r="N15" s="147"/>
      <c r="Q15" s="212" t="s">
        <v>374</v>
      </c>
      <c r="R15" s="81" t="s">
        <v>624</v>
      </c>
      <c r="S15" s="212" t="s">
        <v>373</v>
      </c>
      <c r="T15" s="198">
        <v>2324</v>
      </c>
    </row>
    <row r="16" spans="2:23" x14ac:dyDescent="0.25">
      <c r="B16" s="240"/>
      <c r="C16" s="402"/>
      <c r="D16" s="403"/>
      <c r="E16" s="403"/>
      <c r="F16" s="404"/>
      <c r="G16" s="234"/>
      <c r="H16" s="408">
        <f>D11</f>
        <v>0</v>
      </c>
      <c r="I16" s="409"/>
      <c r="J16" s="408">
        <f>D10</f>
        <v>0</v>
      </c>
      <c r="K16" s="409"/>
      <c r="L16" s="408" t="str">
        <f>IF(ISBLANK(D9),IF(ISBLANK(D8),TEXT(D6,"$#,##0"),TEXT(D6,"$#,##0")&amp;"/"&amp;TEXT(D8,"$#,##0")),IF(ISBLANK(D8),TEXT(D6,"$#,##0")&amp;"/"&amp;TEXT(D9,"$#,##0"),TEXT(D6,"$#,##0")&amp;"/"&amp;TEXT(D8,"$#,##0")&amp;"/"&amp;TEXT(D9,"$#,##0")))</f>
        <v>$0</v>
      </c>
      <c r="M16" s="408"/>
      <c r="N16" s="147"/>
      <c r="Q16" s="82" t="s">
        <v>216</v>
      </c>
      <c r="S16" s="82" t="s">
        <v>217</v>
      </c>
      <c r="U16" s="212" t="s">
        <v>461</v>
      </c>
      <c r="V16" s="212"/>
      <c r="W16" s="212" t="s">
        <v>462</v>
      </c>
    </row>
    <row r="17" spans="2:23" ht="15" customHeight="1" x14ac:dyDescent="0.25">
      <c r="B17" s="240"/>
      <c r="C17" s="402"/>
      <c r="D17" s="403"/>
      <c r="E17" s="403"/>
      <c r="F17" s="404"/>
      <c r="G17" s="234"/>
      <c r="H17" s="264"/>
      <c r="I17" s="264"/>
      <c r="J17" s="264"/>
      <c r="K17" s="264"/>
      <c r="L17" s="264"/>
      <c r="M17" s="264"/>
      <c r="N17" s="265"/>
      <c r="Q17" s="89" t="s">
        <v>214</v>
      </c>
      <c r="S17" s="89" t="s">
        <v>215</v>
      </c>
      <c r="U17" s="213" t="s">
        <v>214</v>
      </c>
      <c r="W17" s="213" t="s">
        <v>215</v>
      </c>
    </row>
    <row r="18" spans="2:23" ht="15" customHeight="1" x14ac:dyDescent="0.25">
      <c r="B18" s="240"/>
      <c r="C18" s="402"/>
      <c r="D18" s="403"/>
      <c r="E18" s="403"/>
      <c r="F18" s="404"/>
      <c r="G18" s="234"/>
      <c r="H18" s="289"/>
      <c r="I18" s="287"/>
      <c r="J18" s="287"/>
      <c r="K18" s="287"/>
      <c r="L18" s="287"/>
      <c r="M18" s="287"/>
      <c r="N18" s="288"/>
      <c r="Q18" s="90" t="str">
        <f>IF(ISBLANK(D11),"",TEXT(D11,"$#,##0")&amp;" Sub2, ")</f>
        <v/>
      </c>
      <c r="S18" s="90" t="str">
        <f>IF(ISBLANK(D11),"",TEXT(D11,"$#,##0")&amp;" Sub, ")</f>
        <v/>
      </c>
      <c r="U18" s="214" t="str">
        <f>IF(ISBLANK(E11),"",TEXT(E11,"$#,##0")&amp;" NET SUB1, ")</f>
        <v/>
      </c>
      <c r="W18" s="214" t="str">
        <f>IF(ISBLANK(E11),"",TEXT(E11,"$#,##0")&amp;" NET SUB2, ")</f>
        <v/>
      </c>
    </row>
    <row r="19" spans="2:23" x14ac:dyDescent="0.25">
      <c r="B19" s="240"/>
      <c r="C19" s="402"/>
      <c r="D19" s="403"/>
      <c r="E19" s="403"/>
      <c r="F19" s="404"/>
      <c r="G19" s="234"/>
      <c r="H19" s="412"/>
      <c r="I19" s="412"/>
      <c r="J19" s="412"/>
      <c r="K19" s="412"/>
      <c r="L19" s="412"/>
      <c r="M19" s="412"/>
      <c r="N19" s="288"/>
      <c r="Q19" s="90" t="str">
        <f>IF(ISBLANK(D10),"",TEXT(D10,"$#,##0")&amp;" Unsub2, ")</f>
        <v/>
      </c>
      <c r="S19" s="90" t="str">
        <f>IF(ISBLANK(D10),"",TEXT(D10,"$#,##0")&amp;" Unsub, ")</f>
        <v/>
      </c>
      <c r="U19" s="214" t="str">
        <f>IF(ISBLANK(E10),"",TEXT(E10,"$#,##0")&amp;" NET UNSUB1, ")</f>
        <v/>
      </c>
      <c r="W19" s="214" t="str">
        <f>IF(ISBLANK(E10),"",TEXT(E10,"$#,##0")&amp;" NET UNSUB2, ")</f>
        <v/>
      </c>
    </row>
    <row r="20" spans="2:23" x14ac:dyDescent="0.25">
      <c r="B20" s="240"/>
      <c r="C20" s="402"/>
      <c r="D20" s="403"/>
      <c r="E20" s="403"/>
      <c r="F20" s="404"/>
      <c r="G20" s="234"/>
      <c r="H20" s="413" t="str">
        <f>IF(R29="--Misc Notes--","",E11)</f>
        <v/>
      </c>
      <c r="I20" s="414"/>
      <c r="J20" s="413" t="str">
        <f>IF(R29="--Misc Notes--","",E10)</f>
        <v/>
      </c>
      <c r="K20" s="414"/>
      <c r="L20" s="413" t="str">
        <f>IF(R29="--Misc Notes--","",IF(ISBLANK(E9),IF(ISBLANK(E8),TEXT(E6,"$#,##0"),TEXT(D6,"$#,##0")&amp;"/"&amp;TEXT(E8,"$#,##0")),IF(ISBLANK(E8),TEXT(E6,"$#,##0")&amp;"/"&amp;TEXT(E9,"$#,##0"),TEXT(D6,"$#,##0")&amp;"/"&amp;TEXT(E8,"$#,##0")&amp;"/"&amp;TEXT(E9,"$#,##0"))))</f>
        <v/>
      </c>
      <c r="M20" s="413"/>
      <c r="N20" s="288"/>
      <c r="Q20" s="90" t="str">
        <f>IF(ISBLANK(D6),"",TEXT(D6,"$#,##0")&amp;" "&amp;R15&amp;" Term2 Pell, ")</f>
        <v/>
      </c>
      <c r="S20" s="90" t="str">
        <f>IF(ISBLANK(D6),"",TEXT(D6,"$#,##0")&amp;" "&amp;T15&amp;" Pell, ")</f>
        <v/>
      </c>
      <c r="U20" s="214" t="str">
        <f>IF(ISBLANK(E6),"",TEXT(E6,"$#,##0")&amp;" "&amp;R15&amp;" PELL1, ")</f>
        <v/>
      </c>
      <c r="W20" s="214" t="str">
        <f>IF(ISBLANK(E6),"",TEXT(E6,"$#,##0")&amp;" "&amp;R15&amp;" PELL2, ")</f>
        <v/>
      </c>
    </row>
    <row r="21" spans="2:23" x14ac:dyDescent="0.25">
      <c r="B21" s="146"/>
      <c r="C21" s="405"/>
      <c r="D21" s="406"/>
      <c r="E21" s="406"/>
      <c r="F21" s="407"/>
      <c r="G21" s="220"/>
      <c r="H21" s="287"/>
      <c r="I21" s="287"/>
      <c r="J21" s="287"/>
      <c r="K21" s="287"/>
      <c r="L21" s="287"/>
      <c r="M21" s="287"/>
      <c r="N21" s="288"/>
      <c r="Q21" s="90" t="str">
        <f>IF(ISBLANK(D7),"",TEXT(D7,"$#,##0")&amp;" "&amp;T15&amp;" Est Pell, ")</f>
        <v/>
      </c>
      <c r="S21" s="90" t="str">
        <f>IF(ISBLANK(D7),"",TEXT(D7,"$#,##0")&amp;" "&amp;T15&amp;" Est Pell, ")</f>
        <v/>
      </c>
      <c r="U21" s="214" t="str">
        <f>IF(ISBLANK(E7),"",TEXT(E7,"$#,##0")&amp;" "&amp;T15&amp;" EST PELL, ")</f>
        <v/>
      </c>
      <c r="W21" s="214" t="str">
        <f>IF(ISBLANK(E7),"",TEXT(E7,"$#,##0")&amp;" "&amp;T15&amp;" EST PELL, ")</f>
        <v/>
      </c>
    </row>
    <row r="22" spans="2:23" x14ac:dyDescent="0.25">
      <c r="B22" s="146"/>
      <c r="C22" s="410"/>
      <c r="D22" s="410"/>
      <c r="E22" s="410"/>
      <c r="F22" s="410"/>
      <c r="G22" s="410"/>
      <c r="H22" s="410"/>
      <c r="I22" s="410"/>
      <c r="J22" s="410"/>
      <c r="K22" s="410"/>
      <c r="L22" s="410"/>
      <c r="M22" s="410"/>
      <c r="N22" s="286"/>
      <c r="Q22" s="90" t="str">
        <f>IF(ISBLANK(D9),"",TEXT(D9,"$#,##0")&amp;" "&amp;R15&amp;" Term2 Teach, ")</f>
        <v/>
      </c>
      <c r="S22" s="90" t="str">
        <f>IF(ISBLANK(D9),"",TEXT(D9,"$#,##0")&amp;" "&amp;T15&amp;" Teach, ")</f>
        <v/>
      </c>
      <c r="U22" s="214" t="str">
        <f>IF(ISBLANK(E9),"",TEXT(E9,"$#,##0")&amp;" "&amp;R15&amp;" TERM1 TEACH, ")</f>
        <v/>
      </c>
      <c r="W22" s="214" t="str">
        <f>IF(ISBLANK(E9),"",TEXT(E9,"$#,##0")&amp;" "&amp;R15&amp;" TEACH2, ")</f>
        <v/>
      </c>
    </row>
    <row r="23" spans="2:23" x14ac:dyDescent="0.25">
      <c r="B23" s="144"/>
      <c r="C23" s="411"/>
      <c r="D23" s="411"/>
      <c r="E23" s="411"/>
      <c r="F23" s="411"/>
      <c r="G23" s="411"/>
      <c r="H23" s="411"/>
      <c r="I23" s="411"/>
      <c r="J23" s="411"/>
      <c r="K23" s="411"/>
      <c r="L23" s="411"/>
      <c r="M23" s="411"/>
      <c r="N23" s="145"/>
      <c r="Q23" s="109" t="str">
        <f>IF(ISBLANK(D8),"",TEXT(D8,"$#,##0")&amp;" "&amp;$R$15&amp;" Term2 FSEOG, ")</f>
        <v/>
      </c>
      <c r="S23" s="109" t="str">
        <f>IF(ISBLANK(D8),"",TEXT(D8,"$#,##0")&amp;" "&amp;$T$15&amp;" FSEOG, ")</f>
        <v/>
      </c>
      <c r="U23" s="109" t="str">
        <f>IF(ISBLANK(E8),"",TEXT(E8,"$#,##0")&amp;" "&amp;$R$15&amp;" TERM1 FSEOG, ")</f>
        <v/>
      </c>
      <c r="W23" s="109" t="str">
        <f>IF(ISBLANK(E8),"",TEXT(E8,"$#,##0")&amp;" "&amp;$R$15&amp;" FSEOG2, ")</f>
        <v/>
      </c>
    </row>
    <row r="24" spans="2:23" x14ac:dyDescent="0.25">
      <c r="Q24" s="109" t="str">
        <f>IF(ISBLANK(D12),"",TEXT(D12,"$#,##0")&amp;" "&amp;$R$15&amp;" Term2 "&amp;C12&amp;", ")</f>
        <v/>
      </c>
      <c r="S24" s="109" t="str">
        <f>IF(ISBLANK(D12),"",TEXT(D12,"$#,##0")&amp;" "&amp;$T$15&amp;" "&amp;C12&amp;", ")</f>
        <v/>
      </c>
      <c r="U24" s="109"/>
      <c r="W24" s="109"/>
    </row>
    <row r="25" spans="2:23" x14ac:dyDescent="0.25">
      <c r="Q25" s="109" t="str">
        <f>IF(ISBLANK(D13),"",TEXT(D13,"$#,##0")&amp;" "&amp;$R$15&amp;" Term2 "&amp;C13&amp;", ")</f>
        <v/>
      </c>
      <c r="R25" s="82"/>
      <c r="S25" s="109" t="str">
        <f>IF(ISBLANK(D13),"",TEXT(D13,"$#,##0")&amp;" "&amp;$T$15&amp;" FSEOG, ")</f>
        <v/>
      </c>
      <c r="U25" s="109"/>
      <c r="W25" s="109"/>
    </row>
    <row r="26" spans="2:23" x14ac:dyDescent="0.25">
      <c r="Q26" s="81" t="s">
        <v>232</v>
      </c>
      <c r="R26" s="350">
        <f>SUM(D3:D13)</f>
        <v>0</v>
      </c>
      <c r="S26" s="81" t="s">
        <v>460</v>
      </c>
      <c r="T26" s="81">
        <f>SUM(E6:E11)</f>
        <v>0</v>
      </c>
      <c r="U26" s="198" t="str">
        <f>U18&amp;U19&amp;U20&amp;U21&amp;U22&amp;U23</f>
        <v/>
      </c>
      <c r="W26" s="81" t="str">
        <f>W18&amp;W19&amp;W20&amp;W21&amp;W22&amp;W23</f>
        <v/>
      </c>
    </row>
    <row r="27" spans="2:23" x14ac:dyDescent="0.25">
      <c r="Q27" s="81" t="s">
        <v>345</v>
      </c>
      <c r="R27" s="150">
        <f>SUM(D6:D13)</f>
        <v>0</v>
      </c>
      <c r="S27" s="212" t="s">
        <v>233</v>
      </c>
      <c r="U27" s="81" t="str">
        <f>IF(Q2,U26,W26)</f>
        <v/>
      </c>
    </row>
    <row r="28" spans="2:23" x14ac:dyDescent="0.25">
      <c r="Q28" s="82"/>
    </row>
    <row r="29" spans="2:23" x14ac:dyDescent="0.25">
      <c r="Q29" s="212" t="s">
        <v>419</v>
      </c>
      <c r="R29" s="81" t="s">
        <v>416</v>
      </c>
    </row>
    <row r="30" spans="2:23" x14ac:dyDescent="0.25">
      <c r="Q30" s="81" t="s">
        <v>405</v>
      </c>
    </row>
    <row r="31" spans="2:23" x14ac:dyDescent="0.25">
      <c r="Q31" s="222" t="s">
        <v>418</v>
      </c>
      <c r="R31" s="81" t="str">
        <f>IF(ISBLANK(D3),"**Please enter Grad Date**","GRADUATED = "&amp;TEXT(D3,"MM/DD/YYYY")&amp;". "&amp;IF(Q2,"Term1","Term2")&amp;" 100% COMPLETE. No cancel needed. Future funds already cancelled through automated process.")</f>
        <v>**Please enter Grad Date**</v>
      </c>
    </row>
    <row r="32" spans="2:23" x14ac:dyDescent="0.25">
      <c r="Q32" s="222" t="s">
        <v>458</v>
      </c>
      <c r="R32" s="81" t="str">
        <f>IF(T26=0,"**Please enter Late disbursement amount and Offer sent/due dates**","RETURNED "&amp;IF(Q2,U24&amp;U25&amp;U18&amp;U19&amp;U20&amp;U21&amp;U22&amp;U23,W24&amp;W25&amp;W18&amp;W19&amp;W20&amp;W21&amp;W22&amp;W23)&amp;" DUE TO NO RESPONSE TO LATE DISBURSEMENT OFFER SENT "&amp;TEXT(E12,"MM/DD/YYYY")&amp;" BY THE DUE DATE OF "&amp;TEXT(E13,"MM/DD/YYYY")&amp;". SENT UPDATED REFUND CANCELLATION NOTIFICATION.")</f>
        <v>**Please enter Late disbursement amount and Offer sent/due dates**</v>
      </c>
    </row>
    <row r="33" spans="17:18" x14ac:dyDescent="0.25">
      <c r="Q33" s="222" t="s">
        <v>459</v>
      </c>
      <c r="R33" s="81" t="str">
        <f>IF(T26=0,"**Please enter late disbursement amount**","RECEIVED SIGNED LATE DISBURSEMENT OFFER OF "&amp;IF(Q2,U24&amp;U25&amp;U18&amp;U19&amp;U20&amp;U21&amp;U22&amp;U23,W24&amp;W25&amp;W18&amp;W19&amp;W20&amp;W21&amp;W22&amp;W23)&amp;", SENT REQUEST TO POST "&amp;LEFT(U26,LEN(U26)-2)&amp;".")</f>
        <v>**Please enter late disbursement amount**</v>
      </c>
    </row>
  </sheetData>
  <sheetProtection sheet="1" formatCells="0" formatColumns="0" formatRows="0"/>
  <mergeCells count="15">
    <mergeCell ref="H7:L10"/>
    <mergeCell ref="H15:I15"/>
    <mergeCell ref="J15:K15"/>
    <mergeCell ref="L15:M15"/>
    <mergeCell ref="H16:I16"/>
    <mergeCell ref="J16:K16"/>
    <mergeCell ref="L16:M16"/>
    <mergeCell ref="C22:M23"/>
    <mergeCell ref="H19:I19"/>
    <mergeCell ref="J19:K19"/>
    <mergeCell ref="L19:M19"/>
    <mergeCell ref="H20:I20"/>
    <mergeCell ref="J20:K20"/>
    <mergeCell ref="L20:M20"/>
    <mergeCell ref="C15:F21"/>
  </mergeCells>
  <dataValidations count="2">
    <dataValidation allowBlank="1" showInputMessage="1" showErrorMessage="1" prompt="ex. 2122" sqref="R13" xr:uid="{18026CDC-956B-404D-A67F-9840ECC9C4FD}"/>
    <dataValidation allowBlank="1" showInputMessage="1" showErrorMessage="1" prompt="mm/dd/yyyy" sqref="D3 E12:E13" xr:uid="{B4431F87-5F3C-423A-8095-778AFB5D3A46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7" r:id="rId4" name="ComboBox1">
          <controlPr defaultSize="0" autoLine="0" linkedCell="R15" listFillRange="R12:R14" r:id="rId5">
            <anchor moveWithCells="1">
              <from>
                <xdr:col>5</xdr:col>
                <xdr:colOff>76200</xdr:colOff>
                <xdr:row>1</xdr:row>
                <xdr:rowOff>209550</xdr:rowOff>
              </from>
              <to>
                <xdr:col>6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5127" r:id="rId4" name="ComboBox1"/>
      </mc:Fallback>
    </mc:AlternateContent>
    <mc:AlternateContent xmlns:mc="http://schemas.openxmlformats.org/markup-compatibility/2006">
      <mc:Choice Requires="x14">
        <control shapeId="5126" r:id="rId6" name="Term2">
          <controlPr defaultSize="0" autoLine="0" autoPict="0" linkedCell="R2" r:id="rId7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3</xdr:col>
                <xdr:colOff>790575</xdr:colOff>
                <xdr:row>1</xdr:row>
                <xdr:rowOff>276225</xdr:rowOff>
              </to>
            </anchor>
          </controlPr>
        </control>
      </mc:Choice>
      <mc:Fallback>
        <control shapeId="5126" r:id="rId6" name="Term2"/>
      </mc:Fallback>
    </mc:AlternateContent>
    <mc:AlternateContent xmlns:mc="http://schemas.openxmlformats.org/markup-compatibility/2006">
      <mc:Choice Requires="x14">
        <control shapeId="5125" r:id="rId8" name="Term1">
          <controlPr defaultSize="0" autoLine="0" linkedCell="Q2" r:id="rId9">
            <anchor moveWithCells="1">
              <from>
                <xdr:col>2</xdr:col>
                <xdr:colOff>9525</xdr:colOff>
                <xdr:row>1</xdr:row>
                <xdr:rowOff>19050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5" r:id="rId8" name="Term1"/>
      </mc:Fallback>
    </mc:AlternateContent>
    <mc:AlternateContent xmlns:mc="http://schemas.openxmlformats.org/markup-compatibility/2006">
      <mc:Choice Requires="x14">
        <control shapeId="5128" r:id="rId10" name="MiscNotes">
          <controlPr defaultSize="0" autoLine="0" linkedCell="R29" listFillRange="Q31:Q33" r:id="rId11">
            <anchor moveWithCells="1">
              <from>
                <xdr:col>7</xdr:col>
                <xdr:colOff>28575</xdr:colOff>
                <xdr:row>1</xdr:row>
                <xdr:rowOff>219075</xdr:rowOff>
              </from>
              <to>
                <xdr:col>11</xdr:col>
                <xdr:colOff>228600</xdr:colOff>
                <xdr:row>2</xdr:row>
                <xdr:rowOff>180975</xdr:rowOff>
              </to>
            </anchor>
          </controlPr>
        </control>
      </mc:Choice>
      <mc:Fallback>
        <control shapeId="5128" r:id="rId10" name="MiscNotes"/>
      </mc:Fallback>
    </mc:AlternateContent>
    <mc:AlternateContent xmlns:mc="http://schemas.openxmlformats.org/markup-compatibility/2006">
      <mc:Choice Requires="x14">
        <control shapeId="5123" r:id="rId12" name="Button 3">
          <controlPr defaultSize="0" print="0" autoFill="0" autoPict="0" macro="[0]!GradClear">
            <anchor moveWithCells="1" sizeWithCells="1">
              <from>
                <xdr:col>11</xdr:col>
                <xdr:colOff>542925</xdr:colOff>
                <xdr:row>1</xdr:row>
                <xdr:rowOff>142875</xdr:rowOff>
              </from>
              <to>
                <xdr:col>12</xdr:col>
                <xdr:colOff>542925</xdr:colOff>
                <xdr:row>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3" name="Button 4">
          <controlPr defaultSize="0" print="0" autoFill="0" autoPict="0" macro="[0]!GradCopy">
            <anchor moveWithCells="1" sizeWithCells="1">
              <from>
                <xdr:col>11</xdr:col>
                <xdr:colOff>152400</xdr:colOff>
                <xdr:row>10</xdr:row>
                <xdr:rowOff>57150</xdr:rowOff>
              </from>
              <to>
                <xdr:col>12</xdr:col>
                <xdr:colOff>9525</xdr:colOff>
                <xdr:row>11</xdr:row>
                <xdr:rowOff>104775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840A-4824-42F4-9B6C-E50E8040C805}">
  <sheetPr codeName="Sheet12">
    <pageSetUpPr autoPageBreaks="0"/>
  </sheetPr>
  <dimension ref="A1:Z38"/>
  <sheetViews>
    <sheetView topLeftCell="B1" workbookViewId="0">
      <selection activeCell="D3" sqref="D3"/>
    </sheetView>
  </sheetViews>
  <sheetFormatPr defaultRowHeight="15" x14ac:dyDescent="0.25"/>
  <cols>
    <col min="1" max="1" width="4" customWidth="1"/>
    <col min="2" max="2" width="5.7109375" customWidth="1"/>
    <col min="3" max="3" width="10.85546875" customWidth="1"/>
    <col min="4" max="5" width="12.85546875" customWidth="1"/>
    <col min="14" max="14" width="2.85546875" customWidth="1"/>
    <col min="15" max="15" width="0.5703125" customWidth="1"/>
    <col min="16" max="16" width="9.140625" customWidth="1"/>
    <col min="17" max="17" width="24.28515625" hidden="1" customWidth="1"/>
    <col min="18" max="18" width="9.140625" hidden="1" customWidth="1"/>
    <col min="19" max="19" width="24" hidden="1" customWidth="1"/>
    <col min="20" max="20" width="10.5703125" hidden="1" customWidth="1"/>
    <col min="21" max="21" width="21.85546875" hidden="1" customWidth="1"/>
    <col min="22" max="22" width="9.140625" hidden="1" customWidth="1"/>
    <col min="23" max="23" width="23.7109375" hidden="1" customWidth="1"/>
    <col min="24" max="26" width="9.140625" hidden="1" customWidth="1"/>
    <col min="27" max="27" width="0" hidden="1" customWidth="1"/>
  </cols>
  <sheetData>
    <row r="1" spans="1:23" x14ac:dyDescent="0.25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212" t="s">
        <v>324</v>
      </c>
      <c r="R1" s="212" t="s">
        <v>325</v>
      </c>
      <c r="S1" s="198"/>
      <c r="T1" s="198"/>
      <c r="U1" s="198"/>
      <c r="V1" s="198"/>
      <c r="W1" s="198"/>
    </row>
    <row r="2" spans="1:23" ht="27" customHeight="1" x14ac:dyDescent="0.25">
      <c r="A2" s="81"/>
      <c r="B2" s="79"/>
      <c r="C2" s="80"/>
      <c r="D2" s="80"/>
      <c r="E2" s="226" t="s">
        <v>369</v>
      </c>
      <c r="F2" s="91"/>
      <c r="G2" s="91"/>
      <c r="H2" s="91"/>
      <c r="I2" s="91"/>
      <c r="J2" s="91"/>
      <c r="K2" s="91"/>
      <c r="L2" s="91"/>
      <c r="M2" s="91"/>
      <c r="N2" s="253"/>
      <c r="O2" s="270" t="str">
        <f>H5</f>
        <v>Empty</v>
      </c>
      <c r="P2" s="81"/>
      <c r="Q2" s="198" t="b">
        <v>1</v>
      </c>
      <c r="R2" s="149" t="b">
        <v>0</v>
      </c>
      <c r="S2" s="198"/>
      <c r="T2" s="198"/>
      <c r="U2" s="198"/>
      <c r="V2" s="198"/>
      <c r="W2" s="198"/>
    </row>
    <row r="3" spans="1:23" ht="17.25" customHeight="1" x14ac:dyDescent="0.25">
      <c r="A3" s="81"/>
      <c r="B3" s="97"/>
      <c r="C3" s="128" t="s">
        <v>332</v>
      </c>
      <c r="D3" s="112"/>
      <c r="E3" s="93"/>
      <c r="F3" s="93"/>
      <c r="G3" s="93"/>
      <c r="H3" s="93"/>
      <c r="I3" s="93"/>
      <c r="J3" s="93"/>
      <c r="K3" s="93"/>
      <c r="L3" s="93"/>
      <c r="M3" s="93"/>
      <c r="N3" s="272"/>
      <c r="O3" s="270" t="str">
        <f>D26</f>
        <v/>
      </c>
      <c r="P3" s="81"/>
      <c r="Q3" s="198"/>
      <c r="R3" s="198"/>
      <c r="S3" s="198"/>
      <c r="T3" s="198"/>
      <c r="U3" s="198"/>
      <c r="V3" s="198"/>
      <c r="W3" s="198"/>
    </row>
    <row r="4" spans="1:23" ht="15" customHeight="1" x14ac:dyDescent="0.25">
      <c r="A4" s="81"/>
      <c r="B4" s="97"/>
      <c r="C4" s="93"/>
      <c r="D4" s="83"/>
      <c r="E4" s="93"/>
      <c r="F4" s="93"/>
      <c r="G4" s="93"/>
      <c r="H4" s="93"/>
      <c r="I4" s="93"/>
      <c r="J4" s="93"/>
      <c r="K4" s="93"/>
      <c r="L4" s="93"/>
      <c r="M4" s="93"/>
      <c r="N4" s="147"/>
      <c r="O4" s="273" t="str">
        <f>E22</f>
        <v>&lt;Term Code&gt; Term Enrollment Removal</v>
      </c>
      <c r="P4" s="81"/>
      <c r="Q4" s="198"/>
      <c r="R4" s="198"/>
      <c r="S4" s="198"/>
      <c r="T4" s="198"/>
      <c r="U4" s="198"/>
      <c r="V4" s="198"/>
      <c r="W4" s="198"/>
    </row>
    <row r="5" spans="1:23" ht="15" customHeight="1" x14ac:dyDescent="0.25">
      <c r="A5" s="81"/>
      <c r="B5" s="97"/>
      <c r="C5" s="98" t="s">
        <v>197</v>
      </c>
      <c r="D5" s="84" t="s">
        <v>234</v>
      </c>
      <c r="E5" s="84" t="s">
        <v>209</v>
      </c>
      <c r="F5" s="93"/>
      <c r="G5" s="126" t="s">
        <v>208</v>
      </c>
      <c r="H5" s="384" t="str">
        <f>IF(R33="--Misc Notes--",IF(R26&lt;=0,"Empty","Term Enrollment Removed for "&amp;D3&amp;" Term. "&amp;IF(R28&lt;=0,"NO RETURN, "&amp;LEFT(Q11,LEN(Q11)-2)&amp;".","RETURNED "&amp;LEFT(Q11,LEN(Q11)-2)&amp;".")),IFERROR(VLOOKUP(R33,$Q$34:$R$34,2,FALSE),""))</f>
        <v>Empty</v>
      </c>
      <c r="I5" s="385"/>
      <c r="J5" s="385"/>
      <c r="K5" s="385"/>
      <c r="L5" s="386"/>
      <c r="M5" s="93"/>
      <c r="N5" s="147"/>
      <c r="O5" s="268" t="str">
        <f>E23</f>
        <v>Term Enrollment Removal for &lt;Term Code&gt; REF/CXL FA</v>
      </c>
      <c r="P5" s="159"/>
      <c r="Q5" s="198"/>
      <c r="R5" s="212" t="s">
        <v>220</v>
      </c>
      <c r="S5" s="212"/>
      <c r="T5" s="198"/>
      <c r="U5" s="198"/>
      <c r="V5" s="198"/>
      <c r="W5" s="198"/>
    </row>
    <row r="6" spans="1:23" ht="15" customHeight="1" x14ac:dyDescent="0.25">
      <c r="A6" s="81"/>
      <c r="B6" s="97"/>
      <c r="C6" s="99" t="s">
        <v>210</v>
      </c>
      <c r="D6" s="85"/>
      <c r="E6" s="85"/>
      <c r="F6" s="93"/>
      <c r="G6" s="93"/>
      <c r="H6" s="387"/>
      <c r="I6" s="388"/>
      <c r="J6" s="388"/>
      <c r="K6" s="388"/>
      <c r="L6" s="389"/>
      <c r="M6" s="93"/>
      <c r="N6" s="147"/>
      <c r="O6" s="81"/>
      <c r="P6" s="81"/>
      <c r="Q6" s="86" t="str">
        <f>W24&amp;W25&amp;W18&amp;W19&amp;W20&amp;W21&amp;W23&amp;W22&amp;IF(R27&lt;=0," NO CANCEL  "," CANCELLED  "&amp;U32&amp;U33&amp;U26&amp;U27&amp;U28&amp;U29&amp;U31&amp;U30)</f>
        <v xml:space="preserve"> NO CANCEL  </v>
      </c>
      <c r="R6" s="198"/>
      <c r="S6" s="198"/>
      <c r="T6" s="198"/>
      <c r="U6" s="198"/>
      <c r="V6" s="198"/>
      <c r="W6" s="198"/>
    </row>
    <row r="7" spans="1:23" ht="15" customHeight="1" x14ac:dyDescent="0.25">
      <c r="A7" s="81"/>
      <c r="B7" s="97"/>
      <c r="C7" s="99" t="s">
        <v>212</v>
      </c>
      <c r="D7" s="227"/>
      <c r="E7" s="85"/>
      <c r="F7" s="93"/>
      <c r="G7" s="93"/>
      <c r="H7" s="387"/>
      <c r="I7" s="388"/>
      <c r="J7" s="388"/>
      <c r="K7" s="388"/>
      <c r="L7" s="389"/>
      <c r="M7" s="93"/>
      <c r="N7" s="147"/>
      <c r="O7" s="81"/>
      <c r="P7" s="81"/>
      <c r="Q7" s="86" t="str">
        <f>S24&amp;S25&amp;S18&amp;S19&amp;S20&amp;S21&amp;S23&amp;S22&amp;IF(R27&lt;=0,"  NO CANCEL. "," CANCELLED "&amp;Q24&amp;Q25&amp;Q18&amp;Q19&amp;Q20&amp;Q21&amp;Q23&amp;Q22)</f>
        <v xml:space="preserve">  NO CANCEL. </v>
      </c>
      <c r="R7" s="198"/>
      <c r="S7" s="198"/>
      <c r="T7" s="198"/>
      <c r="U7" s="198"/>
      <c r="V7" s="198"/>
      <c r="W7" s="198"/>
    </row>
    <row r="8" spans="1:23" x14ac:dyDescent="0.25">
      <c r="A8" s="81"/>
      <c r="B8" s="97"/>
      <c r="C8" s="99" t="s">
        <v>201</v>
      </c>
      <c r="D8" s="85"/>
      <c r="E8" s="85"/>
      <c r="F8" s="93"/>
      <c r="G8" s="93"/>
      <c r="H8" s="387"/>
      <c r="I8" s="388"/>
      <c r="J8" s="388"/>
      <c r="K8" s="388"/>
      <c r="L8" s="389"/>
      <c r="M8" s="93"/>
      <c r="N8" s="147"/>
      <c r="O8" s="81"/>
      <c r="P8" s="81"/>
      <c r="Q8" s="86"/>
      <c r="R8" s="198"/>
      <c r="S8" s="198"/>
      <c r="T8" s="198"/>
      <c r="U8" s="198"/>
      <c r="V8" s="198"/>
      <c r="W8" s="198"/>
    </row>
    <row r="9" spans="1:23" x14ac:dyDescent="0.25">
      <c r="A9" s="81"/>
      <c r="B9" s="97"/>
      <c r="C9" s="99" t="s">
        <v>211</v>
      </c>
      <c r="D9" s="85"/>
      <c r="E9" s="85"/>
      <c r="F9" s="93"/>
      <c r="G9" s="93"/>
      <c r="H9" s="387"/>
      <c r="I9" s="388"/>
      <c r="J9" s="388"/>
      <c r="K9" s="388"/>
      <c r="L9" s="389"/>
      <c r="M9" s="93"/>
      <c r="N9" s="147"/>
      <c r="O9" s="81"/>
      <c r="P9" s="81"/>
      <c r="Q9" s="212" t="s">
        <v>218</v>
      </c>
      <c r="R9" s="198"/>
      <c r="S9" s="198"/>
      <c r="T9" s="198"/>
      <c r="U9" s="198"/>
      <c r="V9" s="198"/>
      <c r="W9" s="198"/>
    </row>
    <row r="10" spans="1:23" x14ac:dyDescent="0.25">
      <c r="A10" s="81"/>
      <c r="B10" s="97"/>
      <c r="C10" s="99" t="s">
        <v>203</v>
      </c>
      <c r="D10" s="85"/>
      <c r="E10" s="85"/>
      <c r="F10" s="93"/>
      <c r="G10" s="93"/>
      <c r="H10" s="390"/>
      <c r="I10" s="391"/>
      <c r="J10" s="391"/>
      <c r="K10" s="391"/>
      <c r="L10" s="392"/>
      <c r="M10" s="93"/>
      <c r="N10" s="147"/>
      <c r="O10" s="81"/>
      <c r="P10" s="81"/>
      <c r="Q10" s="198" t="str">
        <f>IF(Q2,Q7,Q6)</f>
        <v xml:space="preserve">  NO CANCEL. </v>
      </c>
      <c r="R10" s="198"/>
      <c r="S10" s="198"/>
      <c r="T10" s="198"/>
      <c r="U10" s="198"/>
      <c r="V10" s="198"/>
      <c r="W10" s="198"/>
    </row>
    <row r="11" spans="1:23" x14ac:dyDescent="0.25">
      <c r="A11" s="81"/>
      <c r="B11" s="97"/>
      <c r="C11" s="99" t="s">
        <v>204</v>
      </c>
      <c r="D11" s="197"/>
      <c r="E11" s="197"/>
      <c r="F11" s="93"/>
      <c r="G11" s="93"/>
      <c r="H11" s="93"/>
      <c r="I11" s="93"/>
      <c r="J11" s="93"/>
      <c r="K11" s="93"/>
      <c r="L11" s="93"/>
      <c r="M11" s="93"/>
      <c r="N11" s="147"/>
      <c r="O11" s="81"/>
      <c r="P11" s="81"/>
      <c r="Q11" s="198" t="str">
        <f>Q10</f>
        <v xml:space="preserve">  NO CANCEL. </v>
      </c>
      <c r="R11" s="198" t="s">
        <v>624</v>
      </c>
      <c r="S11" s="212" t="s">
        <v>373</v>
      </c>
      <c r="T11" s="198">
        <v>2324</v>
      </c>
      <c r="U11" s="198"/>
      <c r="V11" s="198"/>
      <c r="W11" s="198"/>
    </row>
    <row r="12" spans="1:23" x14ac:dyDescent="0.25">
      <c r="A12" s="81"/>
      <c r="B12" s="97"/>
      <c r="C12" s="354"/>
      <c r="D12" s="345"/>
      <c r="E12" s="345"/>
      <c r="F12" s="93"/>
      <c r="G12" s="93"/>
      <c r="H12" s="93"/>
      <c r="I12" s="93"/>
      <c r="J12" s="93"/>
      <c r="K12" s="93"/>
      <c r="L12" s="93"/>
      <c r="M12" s="93"/>
      <c r="N12" s="147"/>
      <c r="O12" s="81"/>
      <c r="P12" s="81"/>
      <c r="Q12" s="221" t="s">
        <v>368</v>
      </c>
      <c r="R12" s="223">
        <v>2122</v>
      </c>
      <c r="S12" s="357" t="s">
        <v>637</v>
      </c>
      <c r="T12" s="201">
        <v>4.2279999999999998E-2</v>
      </c>
      <c r="U12" s="198"/>
      <c r="V12" s="198"/>
      <c r="W12" s="198"/>
    </row>
    <row r="13" spans="1:23" x14ac:dyDescent="0.25">
      <c r="A13" s="81"/>
      <c r="B13" s="146"/>
      <c r="C13" s="351"/>
      <c r="D13" s="348"/>
      <c r="E13" s="346"/>
      <c r="F13" s="220"/>
      <c r="G13" s="220"/>
      <c r="H13" s="220"/>
      <c r="I13" s="220"/>
      <c r="J13" s="220"/>
      <c r="K13" s="220"/>
      <c r="L13" s="220"/>
      <c r="M13" s="220"/>
      <c r="N13" s="147"/>
      <c r="O13" s="81"/>
      <c r="P13" s="81"/>
      <c r="Q13" s="221" t="s">
        <v>224</v>
      </c>
      <c r="R13" s="222">
        <v>2223</v>
      </c>
      <c r="S13" s="200" t="s">
        <v>364</v>
      </c>
      <c r="T13" s="201">
        <v>1.057E-2</v>
      </c>
      <c r="U13" s="198"/>
      <c r="V13" s="198"/>
      <c r="W13" s="198"/>
    </row>
    <row r="14" spans="1:23" x14ac:dyDescent="0.25">
      <c r="A14" s="81"/>
      <c r="B14" s="146"/>
      <c r="C14" s="234" t="s">
        <v>359</v>
      </c>
      <c r="D14" s="234"/>
      <c r="E14" s="234"/>
      <c r="F14" s="234"/>
      <c r="G14" s="234"/>
      <c r="H14" s="234" t="s">
        <v>363</v>
      </c>
      <c r="I14" s="234"/>
      <c r="J14" s="234"/>
      <c r="K14" s="234"/>
      <c r="L14" s="234"/>
      <c r="M14" s="234"/>
      <c r="N14" s="147"/>
      <c r="O14" s="81"/>
      <c r="P14" s="81"/>
      <c r="Q14" s="221" t="s">
        <v>225</v>
      </c>
      <c r="R14" s="222">
        <v>2324</v>
      </c>
      <c r="S14" s="212" t="s">
        <v>642</v>
      </c>
      <c r="T14" s="372">
        <f>100%-T13</f>
        <v>0.98943000000000003</v>
      </c>
      <c r="U14" s="212" t="s">
        <v>237</v>
      </c>
      <c r="V14" s="198"/>
      <c r="W14" s="198"/>
    </row>
    <row r="15" spans="1:23" x14ac:dyDescent="0.25">
      <c r="A15" s="81"/>
      <c r="B15" s="240"/>
      <c r="C15" s="415"/>
      <c r="D15" s="416"/>
      <c r="E15" s="416"/>
      <c r="F15" s="417"/>
      <c r="G15" s="234"/>
      <c r="H15" s="426" t="s">
        <v>360</v>
      </c>
      <c r="I15" s="427"/>
      <c r="J15" s="426" t="str">
        <f>IF(OR(C12="Grad Plus",C13="Grad Plus"),"Unsubsidized/Grad Plus",IF(OR(C12="Parent Plus",C13="Parent Plus"),"Unsubsidized/Parent Plus","Unsubsidized Loan"))</f>
        <v>Unsubsidized Loan</v>
      </c>
      <c r="K15" s="427"/>
      <c r="L15" s="426" t="str">
        <f>IF(ISBLANK(D9),IF(ISBLANK(D8),"Pell Grant","Pell Grant/FSEOG"),IF(ISBLANK(D8),"Pell Grant/Teach","Pell Grant/FSEOG/Teach"))</f>
        <v>Pell Grant</v>
      </c>
      <c r="M15" s="427"/>
      <c r="N15" s="147"/>
      <c r="O15" s="81"/>
      <c r="P15" s="81"/>
      <c r="Q15" s="198"/>
      <c r="R15" s="198"/>
      <c r="S15" s="212" t="s">
        <v>642</v>
      </c>
      <c r="T15" s="372">
        <f>100%-T12</f>
        <v>0.95772000000000002</v>
      </c>
      <c r="U15" s="213" t="s">
        <v>247</v>
      </c>
      <c r="V15" s="198"/>
      <c r="W15" s="198"/>
    </row>
    <row r="16" spans="1:23" x14ac:dyDescent="0.25">
      <c r="A16" s="81"/>
      <c r="B16" s="240"/>
      <c r="C16" s="418"/>
      <c r="D16" s="419"/>
      <c r="E16" s="419"/>
      <c r="F16" s="420"/>
      <c r="G16" s="234"/>
      <c r="H16" s="424">
        <f>SUM(ROUNDDOWN(PRODUCT(D11,T13),0),D11)</f>
        <v>0</v>
      </c>
      <c r="I16" s="425"/>
      <c r="J16" s="424" t="str">
        <f>IF(OR(C12="Grad Plus",C13="Grad Plus"),TEXT(ROUNDDOWN(PRODUCT(D10/T14),0),"$#,##0")&amp;"/"&amp;TEXT(ROUNDDOWN(PRODUCT(D12/T15),0),"$#,##0"),IF(OR(C12="Parent Plus",C13="Parent Plus"),TEXT(ROUNDDOWN(PRODUCT(D10/T14),0),"$#,##0")&amp;"/"&amp;TEXT(ROUNDDOWN(PRODUCT(D12/T15),0),"$#,##0"),TEXT(ROUNDDOWN(PRODUCT(D10/T14),0),"$#,##0")))</f>
        <v>$0</v>
      </c>
      <c r="K16" s="425"/>
      <c r="L16" s="424" t="str">
        <f>IF(ISBLANK(D9),IF(ISBLANK(D8),TEXT(D6,"$#,##0"),TEXT(D6,"$#,##0")&amp;"/"&amp;TEXT(D8,"$#,##0")),IF(ISBLANK(D8),TEXT(D6,"$#,##0")&amp;"/"&amp;TEXT(D9,"$#,##0"),TEXT(D6,"$#,##0")&amp;"/"&amp;TEXT(D8,"$#,##0")&amp;"/"&amp;TEXT(D9,"$#,##0")))</f>
        <v>$0</v>
      </c>
      <c r="M16" s="425"/>
      <c r="N16" s="147"/>
      <c r="O16" s="81"/>
      <c r="P16" s="81"/>
      <c r="Q16" s="212" t="s">
        <v>235</v>
      </c>
      <c r="R16" s="198"/>
      <c r="S16" s="212" t="s">
        <v>236</v>
      </c>
      <c r="T16" s="198"/>
      <c r="U16" s="352" t="str">
        <f>IF(ISBLANK(E6),"","$"&amp;E6&amp;" "&amp;R11&amp;" TERM2 PELL, ")</f>
        <v/>
      </c>
      <c r="V16" s="198"/>
      <c r="W16" s="212" t="s">
        <v>238</v>
      </c>
    </row>
    <row r="17" spans="1:23" x14ac:dyDescent="0.25">
      <c r="A17" s="81"/>
      <c r="B17" s="240"/>
      <c r="C17" s="418"/>
      <c r="D17" s="419"/>
      <c r="E17" s="419"/>
      <c r="F17" s="420"/>
      <c r="G17" s="234"/>
      <c r="H17" s="271"/>
      <c r="I17" s="271"/>
      <c r="J17" s="271"/>
      <c r="K17" s="271"/>
      <c r="L17" s="271"/>
      <c r="M17" s="271"/>
      <c r="N17" s="147"/>
      <c r="O17" s="81"/>
      <c r="P17" s="81"/>
      <c r="Q17" s="213" t="s">
        <v>246</v>
      </c>
      <c r="R17" s="198"/>
      <c r="S17" s="213" t="s">
        <v>249</v>
      </c>
      <c r="T17" s="198"/>
      <c r="U17" s="105" t="str">
        <f>IF(ISBLANK(E7),"","$"&amp;E7&amp;" "&amp;T11&amp;" EST PELL, ")</f>
        <v/>
      </c>
      <c r="V17" s="198"/>
      <c r="W17" s="213" t="s">
        <v>248</v>
      </c>
    </row>
    <row r="18" spans="1:23" x14ac:dyDescent="0.25">
      <c r="A18" s="81"/>
      <c r="B18" s="240"/>
      <c r="C18" s="418"/>
      <c r="D18" s="419"/>
      <c r="E18" s="419"/>
      <c r="F18" s="420"/>
      <c r="G18" s="234"/>
      <c r="H18" s="234" t="s">
        <v>362</v>
      </c>
      <c r="I18" s="234"/>
      <c r="J18" s="234"/>
      <c r="K18" s="234"/>
      <c r="L18" s="234"/>
      <c r="M18" s="234"/>
      <c r="N18" s="147"/>
      <c r="O18" s="81"/>
      <c r="P18" s="81"/>
      <c r="Q18" s="214" t="str">
        <f>IF(ISBLANK(E6),"","$"&amp;E6&amp;" "&amp;R11&amp;" TERM2 PELL, ")</f>
        <v/>
      </c>
      <c r="R18" s="198"/>
      <c r="S18" s="214" t="str">
        <f>IF(ISBLANK(D6),"","$"&amp;D6&amp;" "&amp;R11&amp;" TERM1 PELL, ")</f>
        <v/>
      </c>
      <c r="T18" s="198"/>
      <c r="U18" s="215" t="str">
        <f>IF(ISBLANK(E8),"","$"&amp;E8&amp;" "&amp;R11&amp;" TERM2 FSEOG, ")</f>
        <v/>
      </c>
      <c r="V18" s="198"/>
      <c r="W18" s="214" t="str">
        <f>IF(ISBLANK(D6),"","$"&amp;D6&amp;" "&amp;R11&amp;" TERM2 PELL, ")</f>
        <v/>
      </c>
    </row>
    <row r="19" spans="1:23" x14ac:dyDescent="0.25">
      <c r="A19" s="81"/>
      <c r="B19" s="240"/>
      <c r="C19" s="418"/>
      <c r="D19" s="419"/>
      <c r="E19" s="419"/>
      <c r="F19" s="420"/>
      <c r="G19" s="234"/>
      <c r="H19" s="426" t="s">
        <v>360</v>
      </c>
      <c r="I19" s="427"/>
      <c r="J19" s="426" t="s">
        <v>361</v>
      </c>
      <c r="K19" s="427"/>
      <c r="L19" s="426" t="str">
        <f>IF(ISBLANK(E9),IF(ISBLANK(E8),"Pell Grant","Pell Grant/FSEOG"),IF(ISBLANK(E8),"Pell Grant/Teach","Pell Grant/FSEOG/Teach"))</f>
        <v>Pell Grant</v>
      </c>
      <c r="M19" s="427"/>
      <c r="N19" s="147"/>
      <c r="O19" s="81"/>
      <c r="P19" s="81"/>
      <c r="Q19" s="215" t="str">
        <f>IF(ISBLANK(E7),"","$"&amp;E7&amp;" "&amp;T11&amp;" EST PELL, ")</f>
        <v/>
      </c>
      <c r="R19" s="198"/>
      <c r="S19" s="215" t="str">
        <f>IF(ISBLANK(D7),"","$"&amp;D7&amp;" EST "&amp;T11&amp;" TERM1 PELL, ")</f>
        <v/>
      </c>
      <c r="T19" s="198"/>
      <c r="U19" s="215" t="str">
        <f>IF(ISBLANK(E9),"","$"&amp;E9&amp;" "&amp;R11&amp;" TERM2 TEACH, ")</f>
        <v/>
      </c>
      <c r="V19" s="198"/>
      <c r="W19" s="215" t="str">
        <f>IF(ISBLANK(D7),"","$"&amp;D7&amp;" EST "&amp;T11&amp;" TERM2 PELL, ")</f>
        <v/>
      </c>
    </row>
    <row r="20" spans="1:23" x14ac:dyDescent="0.25">
      <c r="A20" s="81"/>
      <c r="B20" s="240"/>
      <c r="C20" s="421"/>
      <c r="D20" s="422"/>
      <c r="E20" s="422"/>
      <c r="F20" s="423"/>
      <c r="G20" s="234"/>
      <c r="H20" s="424">
        <f>E11</f>
        <v>0</v>
      </c>
      <c r="I20" s="425"/>
      <c r="J20" s="424">
        <f>E10</f>
        <v>0</v>
      </c>
      <c r="K20" s="425"/>
      <c r="L20" s="424" t="str">
        <f>IF(ISBLANK(E9),IF(ISBLANK(E8),TEXT(E6,"$#,##0"),TEXT(E6,"$#,##0")&amp;"/"&amp;TEXT(E8,"$#,##0")),IF(ISBLANK(E8),TEXT(E6,"$#,##0")&amp;"/"&amp;TEXT(E9,"$#,##0"),TEXT(E6,"$#,##0")&amp;"/"&amp;TEXT(E8,"$#,##0")&amp;"/"&amp;TEXT(E9,"$#,##0")))</f>
        <v>$0</v>
      </c>
      <c r="M20" s="425"/>
      <c r="N20" s="147"/>
      <c r="O20" s="81"/>
      <c r="P20" s="81"/>
      <c r="Q20" s="215" t="str">
        <f>IF(ISBLANK(E8),"","$"&amp;E8&amp;" "&amp;R11&amp;" TERM2 FSEOG, ")</f>
        <v/>
      </c>
      <c r="R20" s="198"/>
      <c r="S20" s="215" t="str">
        <f>IF(ISBLANK(D8),"","$"&amp;D8&amp;" "&amp;R11&amp;" TERM1 FSEOG, ")</f>
        <v/>
      </c>
      <c r="T20" s="198"/>
      <c r="U20" s="215" t="str">
        <f>IF(ISBLANK(E10),"","GROSS $"&amp;E10&amp;" UNSUB2, ")</f>
        <v/>
      </c>
      <c r="V20" s="198"/>
      <c r="W20" s="215" t="str">
        <f>IF(ISBLANK(D8),"","$"&amp;D8&amp;" "&amp;R11&amp;" TERM2 FSEOG, ")</f>
        <v/>
      </c>
    </row>
    <row r="21" spans="1:23" x14ac:dyDescent="0.25">
      <c r="A21" s="81"/>
      <c r="B21" s="146"/>
      <c r="C21" s="234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147"/>
      <c r="O21" s="81"/>
      <c r="P21" s="81"/>
      <c r="Q21" s="215" t="str">
        <f>IF(ISBLANK(E9),"","$"&amp;E9&amp;" "&amp;R11&amp;" TERM2 TEACH, ")</f>
        <v/>
      </c>
      <c r="R21" s="198"/>
      <c r="S21" s="215" t="str">
        <f>IF(ISBLANK(D9),"","$"&amp;D9&amp;" "&amp;R11&amp;" TERM1 TEACH, ")</f>
        <v/>
      </c>
      <c r="T21" s="198"/>
      <c r="U21" s="215" t="str">
        <f>IF(ISBLANK(E11),"","GROSS $"&amp;E11&amp;" SUB2, ")</f>
        <v/>
      </c>
      <c r="V21" s="198"/>
      <c r="W21" s="215" t="str">
        <f>IF(ISBLANK(D9),"","$"&amp;D9&amp;" "&amp;R11&amp;" TERM2 TEACH, ")</f>
        <v/>
      </c>
    </row>
    <row r="22" spans="1:23" x14ac:dyDescent="0.25">
      <c r="A22" s="81"/>
      <c r="B22" s="146"/>
      <c r="C22" s="235"/>
      <c r="D22" s="236" t="s">
        <v>421</v>
      </c>
      <c r="E22" s="237" t="str">
        <f>IF(ISBLANK(D3),"&lt;Term Code&gt; Term Enrollment Removal",D3&amp;" Term Enrollment Removal")</f>
        <v>&lt;Term Code&gt; Term Enrollment Removal</v>
      </c>
      <c r="F22" s="234"/>
      <c r="G22" s="234"/>
      <c r="H22" s="234"/>
      <c r="I22" s="234"/>
      <c r="J22" s="234"/>
      <c r="K22" s="234"/>
      <c r="L22" s="234"/>
      <c r="M22" s="234"/>
      <c r="N22" s="147"/>
      <c r="O22" s="81"/>
      <c r="P22" s="81"/>
      <c r="Q22" s="215" t="str">
        <f>IF(ISBLANK(E10),"","GROSS $"&amp;E10&amp;" UNSUB2, ")</f>
        <v/>
      </c>
      <c r="R22" s="198"/>
      <c r="S22" s="215" t="str">
        <f>IF(ISBLANK(D10),"","NET $"&amp;D10&amp;" UNSUB1, ")</f>
        <v/>
      </c>
      <c r="T22" s="198"/>
      <c r="U22" s="215" t="str">
        <f>IF(ISBLANK(E12),"","$"&amp;E12&amp;" "&amp;$R$11&amp;" TERM2 "&amp;C12&amp;", ")</f>
        <v/>
      </c>
      <c r="V22" s="198"/>
      <c r="W22" s="215" t="str">
        <f>IF(ISBLANK(D10),"","NET $"&amp;D10&amp;" UNSUB2, ")</f>
        <v/>
      </c>
    </row>
    <row r="23" spans="1:23" x14ac:dyDescent="0.25">
      <c r="A23" s="81"/>
      <c r="B23" s="146"/>
      <c r="C23" s="235"/>
      <c r="D23" s="236" t="s">
        <v>422</v>
      </c>
      <c r="E23" s="237" t="str">
        <f>IF(ISBLANK(D3),"Term Enrollment Removal for &lt;Term Code&gt; REF/CXL FA","Term Enrollment Removal for "&amp;D3&amp;" REF/CXL FA")</f>
        <v>Term Enrollment Removal for &lt;Term Code&gt; REF/CXL FA</v>
      </c>
      <c r="F23" s="234"/>
      <c r="G23" s="234"/>
      <c r="H23" s="234"/>
      <c r="I23" s="234"/>
      <c r="J23" s="234"/>
      <c r="K23" s="234"/>
      <c r="L23" s="234"/>
      <c r="M23" s="234"/>
      <c r="N23" s="147"/>
      <c r="O23" s="81"/>
      <c r="P23" s="81"/>
      <c r="Q23" s="215" t="str">
        <f>IF(ISBLANK(E11),"","GROSS $"&amp;E11&amp;" SUB2, ")</f>
        <v/>
      </c>
      <c r="R23" s="198"/>
      <c r="S23" s="215" t="str">
        <f>IF(ISBLANK(D11),"","NET $"&amp;D11&amp;" SUB1, ")</f>
        <v/>
      </c>
      <c r="T23" s="198"/>
      <c r="U23" s="215" t="str">
        <f>IF(ISBLANK(E13),"","$"&amp;E13&amp;" "&amp;$R$11&amp;" TERM2 "&amp;C13&amp;", ")</f>
        <v/>
      </c>
      <c r="V23" s="198"/>
      <c r="W23" s="215" t="str">
        <f>IF(ISBLANK(D11),"","NET $"&amp;D11&amp;" SUB2, ")</f>
        <v/>
      </c>
    </row>
    <row r="24" spans="1:23" x14ac:dyDescent="0.25">
      <c r="A24" s="81"/>
      <c r="B24" s="146"/>
      <c r="C24" s="234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147"/>
      <c r="O24" s="81"/>
      <c r="P24" s="81"/>
      <c r="Q24" s="215" t="str">
        <f>IF(ISBLANK(E12),"","$"&amp;E12&amp;" "&amp;$R$11&amp;" TERM2 "&amp;C12&amp;", ")</f>
        <v/>
      </c>
      <c r="R24" s="198"/>
      <c r="S24" s="215" t="str">
        <f>IF(ISBLANK(D12),"","$"&amp;D12&amp;" "&amp;$R$11&amp;" TERM1 "&amp;C12&amp;", ")</f>
        <v/>
      </c>
      <c r="T24" s="198"/>
      <c r="U24" s="212" t="s">
        <v>348</v>
      </c>
      <c r="V24" s="198"/>
      <c r="W24" s="215" t="str">
        <f>IF(ISBLANK(D12),"","$"&amp;D12&amp;" "&amp;$R$11&amp;" TERM2 "&amp;C12&amp;", ")</f>
        <v/>
      </c>
    </row>
    <row r="25" spans="1:23" x14ac:dyDescent="0.25">
      <c r="A25" s="81"/>
      <c r="B25" s="146"/>
      <c r="C25" s="236" t="str">
        <f>IF(V33="--E-mail Prompts--","","E-mail:  ")</f>
        <v/>
      </c>
      <c r="D25" s="237" t="str">
        <f>IF(V33="--E-mail Prompts--","",IF(V33="VA Funds","VA: CC- "&amp;Q31&amp;" &amp; "&amp;Q32,"To: "&amp;Q30&amp;" (not on WD/deceased)"))</f>
        <v/>
      </c>
      <c r="E25" s="237"/>
      <c r="F25" s="237"/>
      <c r="G25" s="237"/>
      <c r="H25" s="237"/>
      <c r="I25" s="237"/>
      <c r="J25" s="237"/>
      <c r="K25" s="237"/>
      <c r="L25" s="237"/>
      <c r="M25" s="234"/>
      <c r="N25" s="147"/>
      <c r="O25" s="81"/>
      <c r="P25" s="81"/>
      <c r="Q25" s="215" t="str">
        <f>IF(ISBLANK(E13),"","$"&amp;E13&amp;" "&amp;$R$11&amp;" TERM2 "&amp;C13&amp;", ")</f>
        <v/>
      </c>
      <c r="R25" s="212"/>
      <c r="S25" s="216" t="str">
        <f>IF(ISBLANK(D13),"","$"&amp;D13&amp;" "&amp;R11&amp;" TERM1 "&amp;C13&amp;", ")</f>
        <v/>
      </c>
      <c r="T25" s="198"/>
      <c r="U25" s="213" t="s">
        <v>349</v>
      </c>
      <c r="V25" s="198"/>
      <c r="W25" s="215" t="str">
        <f>IF(ISBLANK(D13),"","$"&amp;D13&amp;" "&amp;$R$11&amp;" TERM2 "&amp;C13&amp;", ")</f>
        <v/>
      </c>
    </row>
    <row r="26" spans="1:23" x14ac:dyDescent="0.25">
      <c r="A26" s="81"/>
      <c r="B26" s="146"/>
      <c r="C26" s="234"/>
      <c r="D26" s="374" t="str">
        <f>IF(V33="--E-mail Prompts--","",IFERROR(VLOOKUP(V33,$U$35:$V$38,2,FALSE),""))</f>
        <v/>
      </c>
      <c r="E26" s="374"/>
      <c r="F26" s="374"/>
      <c r="G26" s="374"/>
      <c r="H26" s="374"/>
      <c r="I26" s="374"/>
      <c r="J26" s="374"/>
      <c r="K26" s="374"/>
      <c r="L26" s="374"/>
      <c r="M26" s="241"/>
      <c r="N26" s="147"/>
      <c r="O26" s="81"/>
      <c r="P26" s="81"/>
      <c r="Q26" s="198" t="s">
        <v>232</v>
      </c>
      <c r="R26" s="218">
        <f>SUM(D3:E13)</f>
        <v>0</v>
      </c>
      <c r="S26" s="212" t="s">
        <v>233</v>
      </c>
      <c r="T26" s="198"/>
      <c r="U26" s="214" t="str">
        <f>IF(ISBLANK(E6),"","$"&amp;E6&amp;" "&amp;R11&amp;" PELL, ")</f>
        <v/>
      </c>
      <c r="V26" s="198" t="str">
        <f>IF(ISBLANK(D6),"","GROSS $"&amp;D6&amp;" SUB, ")</f>
        <v/>
      </c>
      <c r="W26" s="198"/>
    </row>
    <row r="27" spans="1:23" x14ac:dyDescent="0.25">
      <c r="B27" s="248"/>
      <c r="C27" s="241"/>
      <c r="D27" s="374"/>
      <c r="E27" s="374"/>
      <c r="F27" s="374"/>
      <c r="G27" s="374"/>
      <c r="H27" s="374"/>
      <c r="I27" s="374"/>
      <c r="J27" s="374"/>
      <c r="K27" s="374"/>
      <c r="L27" s="374"/>
      <c r="M27" s="241"/>
      <c r="N27" s="247"/>
      <c r="Q27" s="198" t="s">
        <v>346</v>
      </c>
      <c r="R27" s="184">
        <f>SUM(E6:E13)</f>
        <v>0</v>
      </c>
      <c r="S27" s="198"/>
      <c r="T27" s="198"/>
      <c r="U27" s="215" t="str">
        <f>IF(ISBLANK(E7),"","$"&amp;E7&amp;" "&amp;T11&amp;" EST PELL, ")</f>
        <v/>
      </c>
      <c r="V27" s="198" t="str">
        <f>IF(ISBLANK(D7),"","GROSS $"&amp;D7&amp;" UNSUB, ")</f>
        <v/>
      </c>
      <c r="W27" s="198"/>
    </row>
    <row r="28" spans="1:23" x14ac:dyDescent="0.25">
      <c r="B28" s="249"/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0"/>
      <c r="N28" s="251"/>
      <c r="Q28" s="149" t="s">
        <v>347</v>
      </c>
      <c r="R28" s="184">
        <f>SUM(D6:D13)</f>
        <v>0</v>
      </c>
      <c r="S28" s="198"/>
      <c r="T28" s="198"/>
      <c r="U28" s="215" t="str">
        <f>IF(ISBLANK(E8),"","$"&amp;E8&amp;" "&amp;R11&amp;" FSEOG, ")</f>
        <v/>
      </c>
      <c r="V28" s="198" t="str">
        <f>IF(ISBLANK(D9),"","$"&amp;D9&amp;" "&amp;R14&amp;" TEACH, ")</f>
        <v/>
      </c>
      <c r="W28" s="198"/>
    </row>
    <row r="29" spans="1:23" x14ac:dyDescent="0.25">
      <c r="C29" s="191"/>
      <c r="Q29" s="169" t="s">
        <v>432</v>
      </c>
      <c r="R29" s="198"/>
      <c r="S29" s="198"/>
      <c r="T29" s="198"/>
      <c r="U29" s="215" t="str">
        <f>IF(ISBLANK(E9),"","$"&amp;E9&amp;" "&amp;R11&amp;" TEACH, ")</f>
        <v/>
      </c>
      <c r="V29" s="198"/>
      <c r="W29" s="198"/>
    </row>
    <row r="30" spans="1:23" x14ac:dyDescent="0.25">
      <c r="C30" s="191"/>
      <c r="Q30" s="222" t="s">
        <v>434</v>
      </c>
      <c r="R30" s="198"/>
      <c r="S30" s="198"/>
      <c r="T30" s="198"/>
      <c r="U30" s="215" t="str">
        <f>IF(ISBLANK(E10),"","GROSS $"&amp;E10&amp;" UNSUB, ")</f>
        <v/>
      </c>
      <c r="V30" s="198"/>
      <c r="W30" s="198"/>
    </row>
    <row r="31" spans="1:23" x14ac:dyDescent="0.25">
      <c r="C31" s="191"/>
      <c r="Q31" s="222" t="s">
        <v>435</v>
      </c>
      <c r="R31" s="198" t="s">
        <v>437</v>
      </c>
      <c r="S31" s="198"/>
      <c r="T31" s="198"/>
      <c r="U31" s="215" t="str">
        <f>IF(ISBLANK(E11),"","GROSS $"&amp;E11&amp;" SUB, ")</f>
        <v/>
      </c>
      <c r="V31" s="198"/>
      <c r="W31" s="198"/>
    </row>
    <row r="32" spans="1:23" x14ac:dyDescent="0.25">
      <c r="Q32" s="222" t="s">
        <v>436</v>
      </c>
      <c r="R32" s="198" t="s">
        <v>437</v>
      </c>
      <c r="S32" s="198"/>
      <c r="T32" s="198"/>
      <c r="U32" s="215" t="str">
        <f>IF(ISBLANK(E12),"","$"&amp;E12&amp;" "&amp;$R$11&amp;" "&amp;C12&amp;", ")</f>
        <v/>
      </c>
      <c r="V32" s="212"/>
      <c r="W32" s="198"/>
    </row>
    <row r="33" spans="17:23" x14ac:dyDescent="0.25">
      <c r="Q33" s="212" t="s">
        <v>420</v>
      </c>
      <c r="R33" s="198" t="s">
        <v>416</v>
      </c>
      <c r="S33" s="198"/>
      <c r="T33" s="198"/>
      <c r="U33" s="215" t="str">
        <f>IF(ISBLANK(E13),"","$"&amp;E13&amp;" "&amp;$R$11&amp;" "&amp;C13&amp;", ")</f>
        <v/>
      </c>
      <c r="V33" s="198" t="str">
        <f>IF(SUM(R27,R28)&gt;0,"Cancelled/Returned","--E-mail Prompts--")</f>
        <v>--E-mail Prompts--</v>
      </c>
      <c r="W33" s="212" t="s">
        <v>423</v>
      </c>
    </row>
    <row r="34" spans="17:23" x14ac:dyDescent="0.25">
      <c r="Q34" s="222" t="s">
        <v>467</v>
      </c>
      <c r="R34" s="198" t="s">
        <v>467</v>
      </c>
      <c r="S34" s="198"/>
      <c r="T34" s="198"/>
      <c r="U34" s="169" t="s">
        <v>433</v>
      </c>
      <c r="V34" s="198"/>
      <c r="W34" s="198"/>
    </row>
    <row r="35" spans="17:23" x14ac:dyDescent="0.25">
      <c r="Q35" s="198"/>
      <c r="R35" s="198"/>
      <c r="S35" s="198"/>
      <c r="T35" s="198"/>
      <c r="U35" s="222" t="s">
        <v>424</v>
      </c>
      <c r="V35" s="198" t="s">
        <v>428</v>
      </c>
      <c r="W35" s="198"/>
    </row>
    <row r="36" spans="17:23" x14ac:dyDescent="0.25">
      <c r="Q36" s="198"/>
      <c r="R36" s="198"/>
      <c r="S36" s="198"/>
      <c r="T36" s="198"/>
      <c r="U36" s="222" t="s">
        <v>425</v>
      </c>
      <c r="V36" s="198" t="s">
        <v>429</v>
      </c>
      <c r="W36" s="198"/>
    </row>
    <row r="37" spans="17:23" x14ac:dyDescent="0.25">
      <c r="Q37" s="198"/>
      <c r="R37" s="198"/>
      <c r="S37" s="198"/>
      <c r="T37" s="198"/>
      <c r="U37" s="222" t="s">
        <v>426</v>
      </c>
      <c r="V37" s="198" t="s">
        <v>430</v>
      </c>
      <c r="W37" s="198"/>
    </row>
    <row r="38" spans="17:23" x14ac:dyDescent="0.25">
      <c r="Q38" s="198"/>
      <c r="R38" s="198"/>
      <c r="S38" s="198"/>
      <c r="T38" s="198"/>
      <c r="U38" s="222" t="s">
        <v>427</v>
      </c>
      <c r="V38" s="198" t="s">
        <v>431</v>
      </c>
      <c r="W38" s="198"/>
    </row>
  </sheetData>
  <sheetProtection sheet="1" formatCells="0" formatColumns="0" formatRows="0"/>
  <mergeCells count="15">
    <mergeCell ref="D26:L27"/>
    <mergeCell ref="C15:F20"/>
    <mergeCell ref="H5:L10"/>
    <mergeCell ref="H16:I16"/>
    <mergeCell ref="J16:K16"/>
    <mergeCell ref="L16:M16"/>
    <mergeCell ref="H20:I20"/>
    <mergeCell ref="J20:K20"/>
    <mergeCell ref="L20:M20"/>
    <mergeCell ref="H15:I15"/>
    <mergeCell ref="J15:K15"/>
    <mergeCell ref="L15:M15"/>
    <mergeCell ref="H19:I19"/>
    <mergeCell ref="J19:K19"/>
    <mergeCell ref="L19:M19"/>
  </mergeCells>
  <dataValidations count="2">
    <dataValidation allowBlank="1" showInputMessage="1" showErrorMessage="1" prompt="yyyymm" sqref="D3" xr:uid="{2982964B-DF96-45BE-A912-76EAF55E9619}"/>
    <dataValidation allowBlank="1" showInputMessage="1" showErrorMessage="1" prompt="ex. 2122" sqref="R13" xr:uid="{7F26766D-C3E4-4DDE-A366-E10D523B7BB3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omboBox1">
          <controlPr defaultSize="0" autoLine="0" autoPict="0" linkedCell="R11" listFillRange="R12:R14" r:id="rId5">
            <anchor moveWithCells="1">
              <from>
                <xdr:col>4</xdr:col>
                <xdr:colOff>276225</xdr:colOff>
                <xdr:row>1</xdr:row>
                <xdr:rowOff>66675</xdr:rowOff>
              </from>
              <to>
                <xdr:col>5</xdr:col>
                <xdr:colOff>95250</xdr:colOff>
                <xdr:row>1</xdr:row>
                <xdr:rowOff>323850</xdr:rowOff>
              </to>
            </anchor>
          </controlPr>
        </control>
      </mc:Choice>
      <mc:Fallback>
        <control shapeId="13319" r:id="rId4" name="ComboBox1"/>
      </mc:Fallback>
    </mc:AlternateContent>
    <mc:AlternateContent xmlns:mc="http://schemas.openxmlformats.org/markup-compatibility/2006">
      <mc:Choice Requires="x14">
        <control shapeId="13318" r:id="rId6" name="Term2">
          <controlPr defaultSize="0" autoLine="0" autoPict="0" linkedCell="R2" r:id="rId7">
            <anchor moveWithCells="1">
              <from>
                <xdr:col>3</xdr:col>
                <xdr:colOff>28575</xdr:colOff>
                <xdr:row>1</xdr:row>
                <xdr:rowOff>66675</xdr:rowOff>
              </from>
              <to>
                <xdr:col>3</xdr:col>
                <xdr:colOff>762000</xdr:colOff>
                <xdr:row>1</xdr:row>
                <xdr:rowOff>333375</xdr:rowOff>
              </to>
            </anchor>
          </controlPr>
        </control>
      </mc:Choice>
      <mc:Fallback>
        <control shapeId="13318" r:id="rId6" name="Term2"/>
      </mc:Fallback>
    </mc:AlternateContent>
    <mc:AlternateContent xmlns:mc="http://schemas.openxmlformats.org/markup-compatibility/2006">
      <mc:Choice Requires="x14">
        <control shapeId="13317" r:id="rId8" name="Term1">
          <controlPr defaultSize="0" autoLine="0" autoPict="0" linkedCell="Q2" r:id="rId9">
            <anchor moveWithCells="1">
              <from>
                <xdr:col>2</xdr:col>
                <xdr:colOff>47625</xdr:colOff>
                <xdr:row>1</xdr:row>
                <xdr:rowOff>66675</xdr:rowOff>
              </from>
              <to>
                <xdr:col>2</xdr:col>
                <xdr:colOff>676275</xdr:colOff>
                <xdr:row>1</xdr:row>
                <xdr:rowOff>323850</xdr:rowOff>
              </to>
            </anchor>
          </controlPr>
        </control>
      </mc:Choice>
      <mc:Fallback>
        <control shapeId="13317" r:id="rId8" name="Term1"/>
      </mc:Fallback>
    </mc:AlternateContent>
    <mc:AlternateContent xmlns:mc="http://schemas.openxmlformats.org/markup-compatibility/2006">
      <mc:Choice Requires="x14">
        <control shapeId="13320" r:id="rId10" name="MiscNotes">
          <controlPr defaultSize="0" autoLine="0" linkedCell="R33" listFillRange="Q34:Q35" r:id="rId11">
            <anchor moveWithCells="1">
              <from>
                <xdr:col>7</xdr:col>
                <xdr:colOff>180975</xdr:colOff>
                <xdr:row>1</xdr:row>
                <xdr:rowOff>152400</xdr:rowOff>
              </from>
              <to>
                <xdr:col>11</xdr:col>
                <xdr:colOff>381000</xdr:colOff>
                <xdr:row>2</xdr:row>
                <xdr:rowOff>57150</xdr:rowOff>
              </to>
            </anchor>
          </controlPr>
        </control>
      </mc:Choice>
      <mc:Fallback>
        <control shapeId="13320" r:id="rId10" name="MiscNotes"/>
      </mc:Fallback>
    </mc:AlternateContent>
    <mc:AlternateContent xmlns:mc="http://schemas.openxmlformats.org/markup-compatibility/2006">
      <mc:Choice Requires="x14">
        <control shapeId="13321" r:id="rId12" name="EmailCombo">
          <controlPr defaultSize="0" autoLine="0" linkedCell="V33" listFillRange="U35:U38" r:id="rId13">
            <anchor moveWithCells="1">
              <from>
                <xdr:col>9</xdr:col>
                <xdr:colOff>161925</xdr:colOff>
                <xdr:row>23</xdr:row>
                <xdr:rowOff>57150</xdr:rowOff>
              </from>
              <to>
                <xdr:col>12</xdr:col>
                <xdr:colOff>495300</xdr:colOff>
                <xdr:row>24</xdr:row>
                <xdr:rowOff>133350</xdr:rowOff>
              </to>
            </anchor>
          </controlPr>
        </control>
      </mc:Choice>
      <mc:Fallback>
        <control shapeId="13321" r:id="rId12" name="EmailCombo"/>
      </mc:Fallback>
    </mc:AlternateContent>
    <mc:AlternateContent xmlns:mc="http://schemas.openxmlformats.org/markup-compatibility/2006">
      <mc:Choice Requires="x14">
        <control shapeId="13315" r:id="rId14" name="Button 3">
          <controlPr defaultSize="0" print="0" autoFill="0" autoPict="0" macro="[0]!AAVClear">
            <anchor moveWithCells="1" sizeWithCells="1">
              <from>
                <xdr:col>12</xdr:col>
                <xdr:colOff>38100</xdr:colOff>
                <xdr:row>1</xdr:row>
                <xdr:rowOff>133350</xdr:rowOff>
              </from>
              <to>
                <xdr:col>13</xdr:col>
                <xdr:colOff>38100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15" name="Button 4">
          <controlPr defaultSize="0" print="0" autoFill="0" autoPict="0" macro="[0]!AAVCopy">
            <anchor moveWithCells="1" sizeWithCells="1">
              <from>
                <xdr:col>11</xdr:col>
                <xdr:colOff>152400</xdr:colOff>
                <xdr:row>10</xdr:row>
                <xdr:rowOff>57150</xdr:rowOff>
              </from>
              <to>
                <xdr:col>12</xdr:col>
                <xdr:colOff>9525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2" r:id="rId16" name="Button 10">
          <controlPr defaultSize="0" print="0" autoFill="0" autoPict="0" macro="[0]!AAVCopyEmail">
            <anchor moveWithCells="1" sizeWithCells="1">
              <from>
                <xdr:col>2</xdr:col>
                <xdr:colOff>0</xdr:colOff>
                <xdr:row>25</xdr:row>
                <xdr:rowOff>38100</xdr:rowOff>
              </from>
              <to>
                <xdr:col>2</xdr:col>
                <xdr:colOff>466725</xdr:colOff>
                <xdr:row>26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3" r:id="rId17" name="Button 11">
          <controlPr defaultSize="0" print="0" autoFill="0" autoPict="0" macro="[0]!AAVCopySub">
            <anchor moveWithCells="1" sizeWithCells="1">
              <from>
                <xdr:col>2</xdr:col>
                <xdr:colOff>38100</xdr:colOff>
                <xdr:row>20</xdr:row>
                <xdr:rowOff>161925</xdr:rowOff>
              </from>
              <to>
                <xdr:col>2</xdr:col>
                <xdr:colOff>447675</xdr:colOff>
                <xdr:row>21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4" r:id="rId18" name="Button 12">
          <controlPr defaultSize="0" print="0" autoFill="0" autoPict="0" macro="[0]!AAVCopyDesc">
            <anchor moveWithCells="1" sizeWithCells="1">
              <from>
                <xdr:col>2</xdr:col>
                <xdr:colOff>38100</xdr:colOff>
                <xdr:row>22</xdr:row>
                <xdr:rowOff>19050</xdr:rowOff>
              </from>
              <to>
                <xdr:col>2</xdr:col>
                <xdr:colOff>447675</xdr:colOff>
                <xdr:row>23</xdr:row>
                <xdr:rowOff>28575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4DA67-822F-4253-AE3A-964557C8FACE}">
  <sheetPr codeName="Sheet8">
    <pageSetUpPr autoPageBreaks="0"/>
  </sheetPr>
  <dimension ref="A1:AE258"/>
  <sheetViews>
    <sheetView topLeftCell="A5" zoomScaleNormal="100" workbookViewId="0">
      <selection activeCell="AK20" sqref="AK20"/>
    </sheetView>
  </sheetViews>
  <sheetFormatPr defaultRowHeight="15" x14ac:dyDescent="0.25"/>
  <cols>
    <col min="1" max="1" width="4.140625" customWidth="1"/>
    <col min="2" max="2" width="4.85546875" customWidth="1"/>
    <col min="3" max="3" width="11.85546875" customWidth="1"/>
    <col min="4" max="4" width="11.28515625" customWidth="1"/>
    <col min="5" max="5" width="12.28515625" customWidth="1"/>
    <col min="6" max="6" width="11.28515625" customWidth="1"/>
    <col min="7" max="7" width="11" customWidth="1"/>
    <col min="8" max="8" width="20.85546875" customWidth="1"/>
    <col min="9" max="9" width="21.5703125" customWidth="1"/>
    <col min="10" max="10" width="3.85546875" customWidth="1"/>
    <col min="12" max="12" width="19" customWidth="1"/>
    <col min="13" max="13" width="9.140625" customWidth="1"/>
    <col min="14" max="14" width="21.140625" customWidth="1"/>
    <col min="15" max="15" width="7.140625" customWidth="1"/>
    <col min="16" max="16" width="9.140625" customWidth="1"/>
    <col min="17" max="17" width="1.42578125" customWidth="1"/>
    <col min="18" max="18" width="0.28515625" customWidth="1"/>
    <col min="19" max="19" width="9.140625" customWidth="1"/>
    <col min="20" max="20" width="23" style="81" hidden="1" customWidth="1"/>
    <col min="21" max="21" width="14.140625" style="81" hidden="1" customWidth="1"/>
    <col min="22" max="22" width="15.28515625" style="81" hidden="1" customWidth="1"/>
    <col min="23" max="23" width="12.5703125" style="81" hidden="1" customWidth="1"/>
    <col min="24" max="24" width="32.85546875" style="81" hidden="1" customWidth="1"/>
    <col min="25" max="25" width="9.140625" style="81" hidden="1" customWidth="1"/>
    <col min="26" max="26" width="31.42578125" style="81" hidden="1" customWidth="1"/>
    <col min="27" max="31" width="9.140625" hidden="1" customWidth="1"/>
    <col min="32" max="35" width="9.140625" customWidth="1"/>
  </cols>
  <sheetData>
    <row r="1" spans="1:30" x14ac:dyDescent="0.25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212" t="s">
        <v>302</v>
      </c>
      <c r="U1" s="212" t="s">
        <v>303</v>
      </c>
      <c r="V1" s="198"/>
      <c r="W1" s="198"/>
      <c r="X1" s="198"/>
      <c r="Y1" s="198"/>
      <c r="Z1" s="198"/>
      <c r="AA1" s="198"/>
      <c r="AB1" s="198"/>
      <c r="AC1" s="198"/>
    </row>
    <row r="2" spans="1:30" ht="26.25" customHeight="1" x14ac:dyDescent="0.25">
      <c r="A2" s="81"/>
      <c r="B2" s="79"/>
      <c r="C2" s="80"/>
      <c r="D2" s="80"/>
      <c r="E2" s="224" t="s">
        <v>370</v>
      </c>
      <c r="F2" s="124"/>
      <c r="G2" s="359" t="str">
        <f>IF(AB30=0,"",IF(V31=0,IF(ISBLANK(D5),"",IF(T72=0,"","*Don't forget to enter Student name &amp; ID, and print to onbase.")),"*Don't forget to enter Student name &amp; ID, and print to onbase."))</f>
        <v/>
      </c>
      <c r="H2" s="124"/>
      <c r="I2" s="124"/>
      <c r="J2" s="124"/>
      <c r="K2" s="91"/>
      <c r="L2" s="225"/>
      <c r="M2" s="91"/>
      <c r="N2" s="91"/>
      <c r="O2" s="91"/>
      <c r="P2" s="91"/>
      <c r="Q2" s="275"/>
      <c r="R2" s="159" t="str">
        <f>K10</f>
        <v>Empty</v>
      </c>
      <c r="S2" s="81"/>
      <c r="T2" s="198" t="b">
        <v>1</v>
      </c>
      <c r="U2" s="149" t="b">
        <v>0</v>
      </c>
      <c r="V2" s="198"/>
      <c r="W2" s="198"/>
      <c r="X2" s="198"/>
      <c r="Y2" s="212" t="s">
        <v>414</v>
      </c>
      <c r="Z2" s="212"/>
      <c r="AA2" s="198"/>
      <c r="AB2" s="198"/>
      <c r="AC2" s="198"/>
    </row>
    <row r="3" spans="1:30" ht="15" customHeight="1" x14ac:dyDescent="0.25">
      <c r="A3" s="81"/>
      <c r="B3" s="97"/>
      <c r="C3" s="125" t="s">
        <v>334</v>
      </c>
      <c r="D3" s="175"/>
      <c r="E3" s="114"/>
      <c r="F3" s="199"/>
      <c r="G3" s="126" t="s">
        <v>311</v>
      </c>
      <c r="H3" s="186"/>
      <c r="I3" s="135" t="s">
        <v>263</v>
      </c>
      <c r="J3" s="130"/>
      <c r="K3" s="131" t="s">
        <v>275</v>
      </c>
      <c r="L3" s="122" t="str" cm="1">
        <f t="array" ref="L3">IF(U30=0,"",IF(T120&lt;&gt;"--Misc Notes--",IF(T2,_xlfn._xlws.FILTER(AA55:AA62,AA55:AA62&lt;&gt;""),_xlfn._xlws.FILTER(AB55:AB62,(AB55:AB62&lt;&gt;""))),IF(Z28=0,"",IF(T2,_xlfn._xlws.FILTER(T47:T56,(T47:T56&lt;&gt;"")),_xlfn._xlws.FILTER(V47:V56,(V47:V56&lt;&gt;""))))))</f>
        <v/>
      </c>
      <c r="M3" s="132" t="s">
        <v>276</v>
      </c>
      <c r="N3" s="170" t="str" cm="1">
        <f t="array" ref="N3">IF(U30&lt;=0,"",IF(Z31=0,"",IF(T2,_xlfn._xlws.FILTER(T59:T71,(T59:T71&lt;&gt;"")),_xlfn._xlws.FILTER(V59:V71,(V59:V71&lt;&gt;"")))))</f>
        <v/>
      </c>
      <c r="O3" s="93"/>
      <c r="P3" s="93"/>
      <c r="Q3" s="276"/>
      <c r="R3" s="81"/>
      <c r="S3" s="81"/>
      <c r="T3" s="102" t="e">
        <f>EDATE(DATEVALUE(TEXT(D3&amp;"01","0000-00-00")),6)-1</f>
        <v>#VALUE!</v>
      </c>
      <c r="U3" s="212" t="s">
        <v>243</v>
      </c>
      <c r="V3" s="198"/>
      <c r="W3" s="198"/>
      <c r="X3" s="198"/>
      <c r="Y3" s="102">
        <f ca="1">TODAY()+14</f>
        <v>44987</v>
      </c>
      <c r="Z3" s="198"/>
      <c r="AA3" s="198"/>
      <c r="AB3" s="198"/>
      <c r="AC3" s="198"/>
    </row>
    <row r="4" spans="1:30" ht="15" customHeight="1" x14ac:dyDescent="0.25">
      <c r="A4" s="81"/>
      <c r="B4" s="97"/>
      <c r="C4" s="125" t="s">
        <v>239</v>
      </c>
      <c r="D4" s="119"/>
      <c r="E4" s="297" t="str">
        <f>IF(ISBLANK(D4),"",IF(ISBLANK(D5),"",IF(D4&gt;D5,"LDA after DOD","")))</f>
        <v/>
      </c>
      <c r="F4" s="283"/>
      <c r="G4" s="126" t="s">
        <v>312</v>
      </c>
      <c r="H4" s="187"/>
      <c r="I4" s="136" t="s">
        <v>263</v>
      </c>
      <c r="J4" s="133"/>
      <c r="K4" s="93"/>
      <c r="L4" s="122"/>
      <c r="M4" s="122"/>
      <c r="N4" s="170"/>
      <c r="O4" s="114"/>
      <c r="P4" s="93"/>
      <c r="Q4" s="276"/>
      <c r="R4" s="81"/>
      <c r="S4" s="81"/>
      <c r="T4" s="198"/>
      <c r="U4" s="198"/>
      <c r="V4" s="198"/>
      <c r="W4" s="198"/>
      <c r="X4" s="198"/>
      <c r="Y4" s="198"/>
      <c r="Z4" s="198"/>
      <c r="AA4" s="198"/>
      <c r="AB4" s="198"/>
      <c r="AC4" s="198"/>
    </row>
    <row r="5" spans="1:30" x14ac:dyDescent="0.25">
      <c r="A5" s="81"/>
      <c r="B5" s="97"/>
      <c r="C5" s="125" t="s">
        <v>240</v>
      </c>
      <c r="D5" s="119"/>
      <c r="E5" s="283"/>
      <c r="F5" s="298"/>
      <c r="G5" s="283"/>
      <c r="H5" s="140"/>
      <c r="I5" s="93"/>
      <c r="J5" s="93"/>
      <c r="K5" s="93"/>
      <c r="L5" s="122"/>
      <c r="M5" s="122"/>
      <c r="N5" s="170"/>
      <c r="O5" s="93"/>
      <c r="P5" s="93"/>
      <c r="Q5" s="276"/>
      <c r="R5" s="81"/>
      <c r="S5" s="81"/>
      <c r="T5" s="198"/>
      <c r="U5" s="212" t="s">
        <v>220</v>
      </c>
      <c r="V5" s="212"/>
      <c r="W5" s="198"/>
      <c r="X5" s="198"/>
      <c r="Y5" s="198"/>
      <c r="Z5" s="198"/>
      <c r="AA5" s="198"/>
      <c r="AB5" s="198"/>
      <c r="AC5" s="198"/>
    </row>
    <row r="6" spans="1:30" x14ac:dyDescent="0.25">
      <c r="A6" s="81"/>
      <c r="B6" s="97"/>
      <c r="C6" s="125" t="s">
        <v>241</v>
      </c>
      <c r="D6" s="331"/>
      <c r="E6" s="283"/>
      <c r="F6" s="299"/>
      <c r="G6" s="312"/>
      <c r="H6" s="182" t="str">
        <f>IF(T120="--Misc Notes--",IF(AB30=0,"",IF(T72&lt;=50,"","Grant Overpayment:")),"")</f>
        <v/>
      </c>
      <c r="I6" s="181" t="str" cm="1">
        <f t="array" ref="I6">IF(T120="--Misc Notes--",IF(AB30=0,"",IF(T72&lt;=50,"",IF(T2,_xlfn._xlws.FILTER(T80:T83,(T80:T83&lt;&gt;"")),_xlfn._xlws.FILTER(V80:V83,(V80:V83&lt;&gt;""))))),"")</f>
        <v/>
      </c>
      <c r="J6" s="93"/>
      <c r="K6" s="93"/>
      <c r="L6" s="122"/>
      <c r="M6" s="122"/>
      <c r="N6" s="170"/>
      <c r="O6" s="93"/>
      <c r="P6" s="93"/>
      <c r="Q6" s="276"/>
      <c r="R6" s="81"/>
      <c r="S6" s="81" t="s">
        <v>337</v>
      </c>
      <c r="T6" s="335" t="e">
        <f>"TERM2 "&amp;TEXT(PercentComplete,"0.0%")&amp;(IF(Y96=0," COMPLETE, "," EARNED, USED "&amp;X96&amp;IF(AC97,"AS FUNDS THAT COULD HAVE BEEN DISBURSED, ","AS FUNDS THAT COULD HAVE BEEN DISBURSED DUE TO DISBURSING AFTER LAST DATE OF ATTENDANCE, ")&amp;IF(U85=0,"",IF(PercentComplete=100%,IF(SUM(T91,T90,T92,T93,T94)&gt;0," RESULTED IN POST WITHDRAWAL DISBURSEMENT OF "&amp;AC86&amp;AC87&amp;AC88&amp;AC89&amp;AC91&amp;AC90&amp;AC92&amp;AC93&amp;AC94&amp;", OF WHICH ALL CAN BE DISBURSED TO THE SCHOOL; SENT POST WITHDRAWAL OFFER LETTER TO STUDENT, OFFER DUE "&amp;TEXT(Y3,"MM/DD/YYYY")&amp;", "," RESULTED IN POST WITHDRAWAL DISBURSEMENT OF "&amp;AC86&amp;AC87&amp;AC88&amp;AC89&amp;"; OF WHICH ALL CAN BE DISBURSED TO THE SCHOOL; "),IF(SUM(T90,T91,T92,T93,T94)&gt;0," RESULTED IN POST WITHDRAWAL DISBURSEMENT OF "&amp;AC86&amp;AC87&amp;AC88&amp;AC89&amp;AC91&amp;AC90&amp;AC92&amp;AC93&amp;AC94&amp;IF(T2," OF WHICH "&amp;AC86&amp;AC87&amp;AC88&amp;AC89&amp;" CAN BE DISBURSED TO THE SCHOOL, ","STUDENT INELIGIBLE FOR "&amp;AC91&amp;AC90&amp;AC92&amp;AC93&amp;AC94&amp;" DUE TO 2ND DISBURSEMENT OF LOAN PERIOD, ")," RESULTED IN  POST WITHDRAWAL DISBURSEMENT OF "&amp;AC86&amp;AC87&amp;AC88&amp;AC89&amp;AC91&amp;AC90&amp;AC92&amp;AC93&amp;AC94&amp;IF(T120="Deceased","STUDENT INELIGIBLE FOR POST WITHDRAWAL DISBURSEMENT DUE TO REGULATION, ",IF(T120="Loan Entrance Counseling Not Completed","STUDENT INELIGIBLE FOR POST WITHDRAWAL DISBURSEMENT DUE TO LOAN ENTRANCE COUNSELING NOT COMPLETED, ",IF(SUM(T90,T91,T92,T93,T94)&gt;0," STUDENT INELIGIBLE FOR  POST WITHDRAWAL DISBURSEMENT DUE TO 2ND DISBURSEMENT OF LOAN PERIOD, ",IF(T2,""," OF WHICH "&amp;W86&amp;W87&amp;W88&amp;W89&amp;" CAN BE DISBURSED TO THE SCHOOL, "))))))))&amp;(IF(Z28=0,"NO RETURN, ","RETURNED "))&amp;X68&amp;X42&amp;X41&amp;X40&amp;X39&amp;X38&amp;X37&amp;X36&amp;X35&amp;X34&amp;(IF(T72=0,"",X83))&amp;IF(U85=0," NO POST WITHDRAWAL DISBURSEMENT,","")&amp;IF(X30=0,IF(AC97," CANCELLED "," NO CANCEL,"),IF(AC97,IF(T120=T128," CANCELLATION COMPLETED THROUGH AUTOMATED PROCESS "," CANCELLED ")&amp;Z68&amp;T26&amp;T25&amp;T28&amp;T27&amp;T24&amp;T23&amp;T21&amp;T20&amp;T19&amp;Z25," CANCELLED FUTURE "&amp;W12&amp;" AWARD "&amp;Z68&amp;T42&amp;T41&amp;T40&amp;T39&amp;T38&amp;T37&amp;T36&amp;T35&amp;T34&amp;Z25)))</f>
        <v>#VALUE!</v>
      </c>
      <c r="U6" s="198"/>
      <c r="V6" s="198"/>
      <c r="W6" s="198" t="b">
        <v>0</v>
      </c>
      <c r="X6" s="212" t="s">
        <v>330</v>
      </c>
      <c r="Y6" s="198"/>
      <c r="Z6" s="212"/>
      <c r="AA6" s="198"/>
      <c r="AB6" s="198"/>
      <c r="AC6" s="198"/>
    </row>
    <row r="7" spans="1:30" x14ac:dyDescent="0.25">
      <c r="A7" s="81"/>
      <c r="B7" s="97"/>
      <c r="C7" s="125" t="s">
        <v>242</v>
      </c>
      <c r="D7" s="119"/>
      <c r="E7" s="283"/>
      <c r="F7" s="339"/>
      <c r="G7" s="283"/>
      <c r="H7" s="192"/>
      <c r="I7" s="242"/>
      <c r="J7" s="93"/>
      <c r="K7" s="93"/>
      <c r="L7" s="122"/>
      <c r="M7" s="122"/>
      <c r="N7" s="170"/>
      <c r="O7" s="93"/>
      <c r="P7" s="93"/>
      <c r="Q7" s="276"/>
      <c r="R7" s="81"/>
      <c r="S7" s="81"/>
      <c r="T7" s="335" t="e">
        <f>"TERM1 "&amp;TEXT(PercentComplete,"0.0%")&amp;(IF(Y96=0," COMPLETE, "," EARNED, USED "&amp;X97&amp;IF(AC97,"AS FUNDS THAT COULD HAVE BEEN DISBURSED, ","AS FUNDS THAT COULD HAVE BEEN DISBURSED DUE TO DISBURSING AFTER LAST DATE OF ATTENDANCE, ")&amp;IF(U85=0,"",IF(PercentComplete=100%,IF(SUM(T91,T90,T92,T93,T94)&gt;0," RESULTED IN POST WITHDRAWAL DISBURSEMENT OF "&amp;AB86&amp;AB87&amp;AB88&amp;AB89&amp;AB91&amp;AB90&amp;AB92&amp;AB93&amp;AB94&amp;", OF WHICH ALL CAN BE DISBURSED TO THE SCHOOL; SENT POST WITHDRAWAL OFFER LETTER TO STUDENT, OFFER DUE "&amp;TEXT(Y3,"MM/DD/YYYY")&amp;", "," RESULTED IN POST WITHDRAWAL DISBURSEMENT OF "&amp;AB86&amp;AB87&amp;AB88&amp;AB89&amp;"; OF WHICH ALL CAN BE DISBURSED TO THE SCHOOL; "),IF(SUM(T86,T87,T88,T89)&gt;0," RESULTED IN POST WITHDRAWAL DISBURSEMENT OF "&amp;AB86&amp;AB87&amp;AB88&amp;AB89&amp;AB91&amp;AB90&amp;AB92&amp;AB93&amp;AB94&amp;" OF WHICH ALL CAN BE DISBURSED TO THE SCHOOL, "," RESULTED IN  POST WITHDRAWAL DISBURSEMENT OF "&amp;AB86&amp;AB87&amp;AB88&amp;AB89&amp;AB91&amp;AB90&amp;AB92&amp;AB93&amp;AB94&amp;"OF WHICH ALL CAN BE DISBURSED TO THE SCHOOL; SENT POST WITHDRAWAL OFFER LETTER TO STUDENT, OFFER DUE "&amp;TEXT(Y3,"MM/DD/YYYY")&amp;", "&amp;IF(T120="Deceased","STUDENT INELIGIBLE FOR POST WITHDRAWAL DISBURSEMENT DUE TO REGULATION, ",IF(T120="Loan Entrance Counseling Not Completed","STUDENT INELIGIBLE FOR POST WITHDRAWAL DISBURSEMENT DUE TO LOAN ENTRANCE COUNSELING NOT COMPLETED, ",""))))))&amp;(IF(Z28=0,"NO RETURN, ","RETURNED "))&amp;X68&amp;X19&amp;X20&amp;X21&amp;X23&amp;X25&amp;X24&amp;X26&amp;X27&amp;X28&amp;(IF(T72=0,"",X83))&amp;IF(U85=0," NO POST WITHDRAWAL DISBURSEMENT,","")&amp;(IF(X30=0,IF(AC97," CANCELLED "," NO CANCEL,"),IF(T120=T128," CANCELLATION COMPLETED THROUGH AUTOMATED PROCESS "," CANCELLED "))&amp;Z68&amp;T26&amp;T25&amp;T24&amp;T28&amp;T27&amp;T23&amp;T21&amp;T20&amp;T19&amp;Z25))</f>
        <v>#VALUE!</v>
      </c>
      <c r="U7" s="198"/>
      <c r="V7" s="198"/>
      <c r="W7" s="198"/>
      <c r="X7" s="102" t="e">
        <f>DATEVALUE(TEXT(D3&amp;"01","0000-00-00"))</f>
        <v>#VALUE!</v>
      </c>
      <c r="Y7" s="102"/>
      <c r="Z7" s="102"/>
      <c r="AA7" s="198"/>
      <c r="AB7" s="198"/>
      <c r="AC7" s="198"/>
    </row>
    <row r="8" spans="1:30" ht="17.25" hidden="1" customHeight="1" x14ac:dyDescent="0.25">
      <c r="A8" s="81"/>
      <c r="B8" s="97"/>
      <c r="C8" s="125" t="s">
        <v>282</v>
      </c>
      <c r="D8" s="294"/>
      <c r="E8" s="220"/>
      <c r="F8" s="283"/>
      <c r="G8" s="283"/>
      <c r="H8" s="137"/>
      <c r="I8" s="93"/>
      <c r="J8" s="93"/>
      <c r="K8" s="93"/>
      <c r="L8" s="123"/>
      <c r="M8" s="122"/>
      <c r="N8" s="138"/>
      <c r="O8" s="93"/>
      <c r="P8" s="93"/>
      <c r="Q8" s="276"/>
      <c r="R8" s="81"/>
      <c r="S8" s="81"/>
      <c r="T8" s="86"/>
      <c r="U8" s="198"/>
      <c r="V8" s="198"/>
      <c r="W8" s="198"/>
      <c r="X8" s="198"/>
      <c r="Y8" s="198"/>
      <c r="Z8" s="198"/>
      <c r="AA8" s="198"/>
      <c r="AB8" s="198"/>
      <c r="AC8" s="198"/>
    </row>
    <row r="9" spans="1:30" x14ac:dyDescent="0.25">
      <c r="A9" s="81"/>
      <c r="B9" s="97"/>
      <c r="C9" s="93"/>
      <c r="D9" s="83"/>
      <c r="E9" s="220"/>
      <c r="F9" s="220"/>
      <c r="G9" s="220"/>
      <c r="H9" s="180"/>
      <c r="I9" s="243"/>
      <c r="J9" s="93"/>
      <c r="K9" s="93" t="s">
        <v>208</v>
      </c>
      <c r="L9" s="93"/>
      <c r="M9" s="93"/>
      <c r="N9" s="93"/>
      <c r="O9" s="93"/>
      <c r="P9" s="93"/>
      <c r="Q9" s="276"/>
      <c r="R9" s="81"/>
      <c r="S9" s="81"/>
      <c r="T9" s="86"/>
      <c r="U9" s="198"/>
      <c r="V9" s="198"/>
      <c r="W9" s="198"/>
      <c r="X9" s="198"/>
      <c r="Y9" s="198"/>
      <c r="Z9" s="198"/>
      <c r="AA9" s="198"/>
      <c r="AB9" s="198"/>
      <c r="AC9" s="198"/>
    </row>
    <row r="10" spans="1:30" ht="32.25" customHeight="1" x14ac:dyDescent="0.25">
      <c r="A10" s="81"/>
      <c r="B10" s="97"/>
      <c r="C10" s="326" t="s">
        <v>197</v>
      </c>
      <c r="D10" s="324" t="s">
        <v>293</v>
      </c>
      <c r="E10" s="325" t="s">
        <v>350</v>
      </c>
      <c r="F10" s="325" t="s">
        <v>292</v>
      </c>
      <c r="G10" s="142"/>
      <c r="H10" s="127"/>
      <c r="I10" s="115"/>
      <c r="J10" s="115"/>
      <c r="K10" s="433" t="str">
        <f>IF(T120="--Misc Notes--",IF(U30&lt;=0,"Empty",IF(AB31=0,"Reviewed Withdrawal case. No R2T4 needed, student did not receive any Title IV Aid for "&amp;D3&amp;" term. "&amp;IF(Z16," CANCELLED "&amp;LEFT(Z25,LEN(Z25)-2)&amp;". ","")&amp;IF(SUM(E24,E25,E26,E27)=0,"","RETURNED "&amp;IF(SUM(F24,F25,F26,F27)=0,LEFT(X68,LEN(X68)-2)&amp;". ",X68)&amp;IF(SUM(F24,F25,F26,F27)=0,""," CANCELLED "&amp;LEFT(Z68,LEN(Z68)-2)&amp;". ")),U100&amp;X15&amp;Y15&amp;"RETURN TO TITLE IV, WITHDRAWAL "&amp;TEXT(D5,"MM/DD/YYYY")&amp;", LAST DATE OF ATTENDANCE "&amp;TEXT(D4,"MM/DD/YYYY")&amp;" REVIEW COMPLETED, "&amp;T11&amp;IF(ISBLANK(D7)," NO EXIT NOTIFICATION NEEDED, NO LOAN HISTORY."," EXIT NOTIFICATION EMAIL SENT "&amp;TEXT(D7,"MM/DD/YYYY")&amp;", ")&amp;IF(T120="Deceased",X16," SENT OUT REFUND CANCELLATION EMAIL."))),IFERROR(VLOOKUP(T120,$T$122:$U$141,2,FALSE),""))</f>
        <v>Empty</v>
      </c>
      <c r="L10" s="434"/>
      <c r="M10" s="434"/>
      <c r="N10" s="434"/>
      <c r="O10" s="435"/>
      <c r="P10" s="93"/>
      <c r="Q10" s="276"/>
      <c r="R10" s="81"/>
      <c r="S10" s="81"/>
      <c r="T10" s="212" t="s">
        <v>218</v>
      </c>
      <c r="U10" s="198" t="e" cm="1">
        <f t="array" ref="U10">INDEX($T$6:$T$7,$T$2)</f>
        <v>#VALUE!</v>
      </c>
      <c r="V10" s="198"/>
      <c r="W10" s="212"/>
      <c r="X10" s="198"/>
      <c r="Y10" s="198"/>
      <c r="Z10" s="198"/>
      <c r="AA10" s="198"/>
      <c r="AB10" s="198"/>
      <c r="AC10" s="198"/>
    </row>
    <row r="11" spans="1:30" x14ac:dyDescent="0.25">
      <c r="A11" s="81"/>
      <c r="B11" s="97"/>
      <c r="C11" s="117" t="s">
        <v>199</v>
      </c>
      <c r="D11" s="189"/>
      <c r="E11" s="189"/>
      <c r="F11" s="189"/>
      <c r="G11" s="373"/>
      <c r="H11" s="244"/>
      <c r="I11" s="245" t="str">
        <f>IF(V31=0,"",IF(U85=0,"","Post Withdrawal Disbursement:"))</f>
        <v/>
      </c>
      <c r="J11" s="116"/>
      <c r="K11" s="436"/>
      <c r="L11" s="437"/>
      <c r="M11" s="437"/>
      <c r="N11" s="437"/>
      <c r="O11" s="438"/>
      <c r="P11" s="93"/>
      <c r="Q11" s="276"/>
      <c r="R11" s="81"/>
      <c r="S11" s="81"/>
      <c r="T11" s="198" t="e">
        <f>IF(T2,T7,T6)</f>
        <v>#VALUE!</v>
      </c>
      <c r="U11" s="198"/>
      <c r="V11" s="198"/>
      <c r="W11" s="102"/>
      <c r="X11" s="198"/>
      <c r="Y11" s="198"/>
      <c r="Z11" s="198" t="b">
        <v>0</v>
      </c>
      <c r="AA11" s="198"/>
      <c r="AB11" s="198"/>
      <c r="AC11" s="198"/>
    </row>
    <row r="12" spans="1:30" ht="15" customHeight="1" x14ac:dyDescent="0.25">
      <c r="A12" s="81"/>
      <c r="B12" s="97"/>
      <c r="C12" s="295" t="s">
        <v>200</v>
      </c>
      <c r="D12" s="141"/>
      <c r="E12" s="141"/>
      <c r="F12" s="141"/>
      <c r="G12" s="373"/>
      <c r="H12" s="190"/>
      <c r="I12" s="246" t="str" cm="1">
        <f t="array" ref="I12">IF(AB30=0,"",IF(ISBLANK(D5),"",IF(U85=0,"",IF(V31=0,"",IF(T2,_xlfn._xlws.FILTER(V86:V94,(V86:V94&lt;&gt;"")),_xlfn._xlws.FILTER(W86:W94,(W86:W94&lt;&gt;"")))))))</f>
        <v/>
      </c>
      <c r="J12" s="116"/>
      <c r="K12" s="436"/>
      <c r="L12" s="437"/>
      <c r="M12" s="437"/>
      <c r="N12" s="437"/>
      <c r="O12" s="438"/>
      <c r="P12" s="93"/>
      <c r="Q12" s="276"/>
      <c r="R12" s="81"/>
      <c r="S12" s="81"/>
      <c r="T12" s="217" t="s">
        <v>255</v>
      </c>
      <c r="U12" s="360" t="s">
        <v>624</v>
      </c>
      <c r="V12" s="212" t="s">
        <v>373</v>
      </c>
      <c r="W12" s="167">
        <v>2324</v>
      </c>
      <c r="X12" s="198"/>
      <c r="Y12" s="198"/>
      <c r="Z12" s="198"/>
      <c r="AA12" s="198"/>
      <c r="AB12" s="198"/>
      <c r="AC12" s="198"/>
    </row>
    <row r="13" spans="1:30" x14ac:dyDescent="0.25">
      <c r="A13" s="81"/>
      <c r="B13" s="97"/>
      <c r="C13" s="117" t="s">
        <v>201</v>
      </c>
      <c r="D13" s="141"/>
      <c r="E13" s="141"/>
      <c r="F13" s="141"/>
      <c r="G13" s="373"/>
      <c r="H13" s="116"/>
      <c r="I13" s="246"/>
      <c r="J13" s="116"/>
      <c r="K13" s="436"/>
      <c r="L13" s="437"/>
      <c r="M13" s="437"/>
      <c r="N13" s="437"/>
      <c r="O13" s="438"/>
      <c r="P13" s="93"/>
      <c r="Q13" s="276"/>
      <c r="R13" s="81"/>
      <c r="S13" s="81"/>
      <c r="T13" s="221" t="s">
        <v>368</v>
      </c>
      <c r="U13" s="361">
        <v>2122</v>
      </c>
      <c r="V13" s="357" t="s">
        <v>637</v>
      </c>
      <c r="W13" s="201">
        <v>4.2279999999999998E-2</v>
      </c>
      <c r="X13" s="212" t="s">
        <v>285</v>
      </c>
      <c r="Y13" s="212" t="s">
        <v>289</v>
      </c>
      <c r="Z13" s="198"/>
      <c r="AA13" s="198"/>
      <c r="AB13" s="198"/>
      <c r="AC13" s="198"/>
    </row>
    <row r="14" spans="1:30" x14ac:dyDescent="0.25">
      <c r="A14" s="81"/>
      <c r="B14" s="97"/>
      <c r="C14" s="117" t="s">
        <v>202</v>
      </c>
      <c r="D14" s="188"/>
      <c r="E14" s="188"/>
      <c r="F14" s="188"/>
      <c r="G14" s="373"/>
      <c r="H14" s="116"/>
      <c r="I14" s="274"/>
      <c r="J14" s="116"/>
      <c r="K14" s="436"/>
      <c r="L14" s="437"/>
      <c r="M14" s="437"/>
      <c r="N14" s="437"/>
      <c r="O14" s="438"/>
      <c r="P14" s="93"/>
      <c r="Q14" s="276"/>
      <c r="R14" s="81"/>
      <c r="S14" s="81"/>
      <c r="T14" s="221" t="s">
        <v>224</v>
      </c>
      <c r="U14" s="362">
        <v>2223</v>
      </c>
      <c r="V14" s="200" t="s">
        <v>364</v>
      </c>
      <c r="W14" s="201">
        <v>1.057E-2</v>
      </c>
      <c r="X14" s="198" t="b">
        <v>0</v>
      </c>
      <c r="Y14" s="198" t="b">
        <v>0</v>
      </c>
      <c r="Z14" s="198"/>
      <c r="AA14" s="198"/>
      <c r="AB14" s="198"/>
      <c r="AC14" s="198"/>
    </row>
    <row r="15" spans="1:30" ht="21.75" customHeight="1" x14ac:dyDescent="0.25">
      <c r="A15" s="81"/>
      <c r="B15" s="97"/>
      <c r="C15" s="93"/>
      <c r="D15" s="116"/>
      <c r="E15" s="116"/>
      <c r="F15" s="116"/>
      <c r="G15" s="190"/>
      <c r="H15" s="341"/>
      <c r="I15" s="341"/>
      <c r="J15" s="116"/>
      <c r="K15" s="436"/>
      <c r="L15" s="437"/>
      <c r="M15" s="437"/>
      <c r="N15" s="437"/>
      <c r="O15" s="438"/>
      <c r="P15" s="93"/>
      <c r="Q15" s="276"/>
      <c r="R15" s="81"/>
      <c r="S15" s="81"/>
      <c r="T15" s="221" t="s">
        <v>225</v>
      </c>
      <c r="U15" s="362">
        <v>2324</v>
      </c>
      <c r="V15" s="212" t="s">
        <v>642</v>
      </c>
      <c r="W15" s="372">
        <f>100%-W14</f>
        <v>0.98943000000000003</v>
      </c>
      <c r="X15" s="198" t="str">
        <f>IF(T120="Deceased","DECEASED STUDENT - ","")</f>
        <v/>
      </c>
      <c r="Y15" s="198" t="str">
        <f>IF(T120="Military Withdrawal","MILITARY WD - STUDENT ORIGINALLY ENROLLED IN FULL-TIME STATUS. SEE PROOF OF ENROLLMENT IN ONBASE. ","")</f>
        <v/>
      </c>
      <c r="Z15" s="212" t="s">
        <v>313</v>
      </c>
      <c r="AA15" s="198"/>
      <c r="AB15" s="198"/>
      <c r="AC15" s="198"/>
      <c r="AD15" s="371"/>
    </row>
    <row r="16" spans="1:30" ht="15" customHeight="1" x14ac:dyDescent="0.25">
      <c r="A16" s="81"/>
      <c r="B16" s="97"/>
      <c r="C16" s="117" t="s">
        <v>203</v>
      </c>
      <c r="D16" s="189"/>
      <c r="E16" s="189"/>
      <c r="F16" s="189"/>
      <c r="G16" s="116"/>
      <c r="H16" s="281" t="str">
        <f>IF(W100,IF(ISBLANK(D16),ROUNDUP(E16/2,0),IF(ISBLANK(E16),ROUNDUP(D16/2,0),D16)),"")</f>
        <v/>
      </c>
      <c r="I16" s="281" t="str">
        <f>IF(W100,IF(ISBLANK(D16),ROUNDDOWN(E16/2,0),IF(ISBLANK(E16),ROUNDDOWN(D16/2,0),E16)),"")</f>
        <v/>
      </c>
      <c r="J16" s="134"/>
      <c r="K16" s="436"/>
      <c r="L16" s="437"/>
      <c r="M16" s="437"/>
      <c r="N16" s="437"/>
      <c r="O16" s="438"/>
      <c r="P16" s="93"/>
      <c r="Q16" s="276"/>
      <c r="R16" s="81"/>
      <c r="S16" s="81"/>
      <c r="T16" s="198"/>
      <c r="U16" s="198"/>
      <c r="V16" s="212" t="s">
        <v>641</v>
      </c>
      <c r="W16" s="372">
        <f>100%-W13</f>
        <v>0.95772000000000002</v>
      </c>
      <c r="X16" s="198" t="str">
        <f>IF(T130="Deceased"," NO REFUND CANCELLATION EMAIL SENT.","")</f>
        <v/>
      </c>
      <c r="Y16" s="198"/>
      <c r="Z16" s="198" t="b">
        <v>0</v>
      </c>
      <c r="AA16" s="198"/>
      <c r="AB16" s="198"/>
      <c r="AC16" s="198"/>
      <c r="AD16" s="336"/>
    </row>
    <row r="17" spans="1:29" x14ac:dyDescent="0.25">
      <c r="A17" s="81"/>
      <c r="B17" s="97"/>
      <c r="C17" s="117" t="s">
        <v>204</v>
      </c>
      <c r="D17" s="141"/>
      <c r="E17" s="141"/>
      <c r="F17" s="141"/>
      <c r="G17" s="116"/>
      <c r="H17" s="342" t="str">
        <f>IF(W100,IF(ISBLANK(D17),ROUNDUP(E17/2,0),IF(ISBLANK(E17),ROUNDUP(D17/2,0),D17)),"")</f>
        <v/>
      </c>
      <c r="I17" s="342" t="str">
        <f>IF(W100,IF(ISBLANK(D17),ROUNDDOWN(E17/2,0),IF(ISBLANK(E17),ROUNDDOWN(D17/2,0),E17)),"")</f>
        <v/>
      </c>
      <c r="J17" s="134"/>
      <c r="K17" s="436"/>
      <c r="L17" s="437"/>
      <c r="M17" s="437"/>
      <c r="N17" s="437"/>
      <c r="O17" s="438"/>
      <c r="P17" s="93"/>
      <c r="Q17" s="276"/>
      <c r="R17" s="81"/>
      <c r="S17" s="81"/>
      <c r="T17" s="217" t="s">
        <v>250</v>
      </c>
      <c r="U17" s="198"/>
      <c r="V17" s="217"/>
      <c r="W17" s="198"/>
      <c r="X17" s="217" t="s">
        <v>251</v>
      </c>
      <c r="Y17" s="198"/>
      <c r="Z17" s="212" t="s">
        <v>314</v>
      </c>
      <c r="AA17" s="198"/>
      <c r="AB17" s="198"/>
      <c r="AC17" s="198"/>
    </row>
    <row r="18" spans="1:29" x14ac:dyDescent="0.25">
      <c r="A18" s="81"/>
      <c r="B18" s="97"/>
      <c r="C18" s="117" t="s">
        <v>207</v>
      </c>
      <c r="D18" s="141"/>
      <c r="E18" s="141"/>
      <c r="F18" s="141"/>
      <c r="G18" s="116"/>
      <c r="H18" s="281" t="str">
        <f>IF(W100,IF(ISBLANK(D18),ROUNDUP(E18/2,0),IF(ISBLANK(E18),ROUNDUP(D18/2,0),D18)),"")</f>
        <v/>
      </c>
      <c r="I18" s="281" t="str">
        <f>IF(W100,IF(ISBLANK(D18),ROUNDDOWN(E18/2,0),IF(ISBLANK(E18),ROUNDDOWN(D18/2,0),E18)),"")</f>
        <v/>
      </c>
      <c r="J18" s="134"/>
      <c r="K18" s="439"/>
      <c r="L18" s="440"/>
      <c r="M18" s="440"/>
      <c r="N18" s="440"/>
      <c r="O18" s="441"/>
      <c r="P18" s="93"/>
      <c r="Q18" s="276"/>
      <c r="R18" s="81"/>
      <c r="S18" s="81"/>
      <c r="T18" s="111" t="s">
        <v>244</v>
      </c>
      <c r="U18" s="198"/>
      <c r="V18" s="111" t="s">
        <v>245</v>
      </c>
      <c r="W18" s="198"/>
      <c r="X18" s="111" t="s">
        <v>252</v>
      </c>
      <c r="Y18" s="198"/>
      <c r="Z18" s="111" t="s">
        <v>315</v>
      </c>
      <c r="AA18" s="198"/>
      <c r="AB18" s="198"/>
      <c r="AC18" s="198"/>
    </row>
    <row r="19" spans="1:29" x14ac:dyDescent="0.25">
      <c r="A19" s="81"/>
      <c r="B19" s="97"/>
      <c r="C19" s="117" t="s">
        <v>205</v>
      </c>
      <c r="D19" s="141"/>
      <c r="E19" s="141"/>
      <c r="F19" s="141"/>
      <c r="G19" s="116"/>
      <c r="H19" s="281" t="str">
        <f>IF(W100,IF(ISBLANK(D19),ROUNDUP(E19/2,0),IF(ISBLANK(E19),ROUNDUP(D19/2,0),D19)),"")</f>
        <v/>
      </c>
      <c r="I19" s="281" t="str">
        <f>IF(W100,IF(ISBLANK(D19),ROUNDDOWN(E19/2,0),IF(ISBLANK(E19),ROUNDDOWN(D19/2,0),E19)),"")</f>
        <v/>
      </c>
      <c r="J19" s="134"/>
      <c r="K19" s="93"/>
      <c r="L19" s="93"/>
      <c r="M19" s="93"/>
      <c r="N19" s="93"/>
      <c r="O19" s="93"/>
      <c r="P19" s="93"/>
      <c r="Q19" s="276"/>
      <c r="R19" s="81"/>
      <c r="S19" s="81"/>
      <c r="T19" s="121" t="str">
        <f>IF(ISBLANK(F11),"",IF(AB97,IF(U85&gt;0,TEXT(SUM(E11-T86,F11),"$#,##0")&amp;" "&amp;U12&amp;IF(T2," TERM1 PELL"," TERM2 PELL, "),TEXT(SUM(E11,F11),"$#,##0")&amp;" "&amp;U12&amp;" TERM2 PELL, "),TEXT(F11,"$#,##0")&amp;" "&amp;U12&amp;" TERM2 PELL, "))</f>
        <v/>
      </c>
      <c r="U19" s="107">
        <f>IF(AB97,E11,0)</f>
        <v>0</v>
      </c>
      <c r="V19" s="183" t="e">
        <f>IF(ISBLANK(E11),ROUNDUP('Page 2'!$U$52,2),IF(AB97,ROUNDUP('Page 2'!$U$52,2),IF(T86=0,SUM(E11,ROUNDUP('Page 2'!$U$52,2)),IF(T2,SUM(ROUNDUP('Page 2'!$U$52,2),E11-T86),IF(PercentComplete=100%,SUM(ROUNDUP('Page 2'!$U$52,2),E11-T86),E11-T86)))))</f>
        <v>#VALUE!</v>
      </c>
      <c r="W19" s="107"/>
      <c r="X19" s="214" t="e">
        <f>IF(V19=0,"",TEXT(V19,"$#,##0")&amp;" "&amp;U12&amp;" TERM1 PELL, ")</f>
        <v>#VALUE!</v>
      </c>
      <c r="Y19" s="107"/>
      <c r="Z19" s="151" t="str">
        <f>IF(ISBLANK(G11),"",TEXT(G11,"$#,##0")&amp;" "&amp;W12&amp;" EST PELL, ")</f>
        <v/>
      </c>
      <c r="AA19" s="107"/>
      <c r="AB19" s="107"/>
      <c r="AC19" s="198"/>
    </row>
    <row r="20" spans="1:29" x14ac:dyDescent="0.25">
      <c r="A20" s="81"/>
      <c r="B20" s="97"/>
      <c r="C20" s="117" t="s">
        <v>206</v>
      </c>
      <c r="D20" s="188"/>
      <c r="E20" s="188"/>
      <c r="F20" s="188"/>
      <c r="G20" s="116"/>
      <c r="H20" s="281" t="str">
        <f>IF(W100,IF(ISBLANK(D20),ROUNDUP(E20/2,0),IF(ISBLANK(E20),ROUNDUP(D20/2,0),D20)),"")</f>
        <v/>
      </c>
      <c r="I20" s="281" t="str">
        <f>IF(W100,IF(ISBLANK(D20),ROUNDDOWN(E20/2,0),IF(ISBLANK(E20), ROUNDDOWN(D20/2,0),E20)),"")</f>
        <v/>
      </c>
      <c r="J20" s="134"/>
      <c r="K20" s="93"/>
      <c r="L20" s="93"/>
      <c r="M20" s="93"/>
      <c r="N20" s="93"/>
      <c r="O20" s="93"/>
      <c r="P20" s="93"/>
      <c r="Q20" s="276"/>
      <c r="R20" s="81"/>
      <c r="S20" s="81"/>
      <c r="T20" s="105" t="str">
        <f>IF(ISBLANK(F12),"",IF(AB98,TEXT(SUM(E12,F12),"$#,##0")&amp;" "&amp;U12&amp;" TERM2 GRANT, ",TEXT(F12,"$#,##0")&amp;" "&amp;U12&amp;" TERM2 GRANT, "))</f>
        <v/>
      </c>
      <c r="U20" s="107">
        <f t="shared" ref="U20:U21" si="0">IF(AB98,E12,0)</f>
        <v>0</v>
      </c>
      <c r="V20" s="183" t="e">
        <f>IF(ISBLANK(E12),ROUNDUP('Page 2'!$U$53,2),IF(AB98,ROUNDUP('Page 2'!$U$53,2),IF(T87=0,SUM(E12,ROUNDUP('Page 2'!$U$53,2)),IF(T2,SUM(ROUNDUP('Page 2'!$U$53,2),E12-T87),IF(PercentComplete=100%,SUM(ROUNDUP('Page 2'!$U$53,2),E12-T87),E12)))))</f>
        <v>#VALUE!</v>
      </c>
      <c r="W20" s="107"/>
      <c r="X20" s="215" t="e">
        <f>IF(V20=0,"",TEXT(V20,"$#,##0")&amp;" "&amp;U12&amp;" TERM1 GRANT, ")</f>
        <v>#VALUE!</v>
      </c>
      <c r="Y20" s="107"/>
      <c r="Z20" s="151" t="str">
        <f>IF(ISBLANK(G12),"",TEXT(G12,"$#,##0")&amp;" "&amp;W12&amp;" EST GRANT, ")</f>
        <v/>
      </c>
      <c r="AA20" s="107"/>
      <c r="AB20" s="107"/>
      <c r="AC20" s="198"/>
    </row>
    <row r="21" spans="1:29" ht="20.25" customHeight="1" x14ac:dyDescent="0.25">
      <c r="A21" s="81"/>
      <c r="B21" s="97"/>
      <c r="C21" s="330" t="s">
        <v>492</v>
      </c>
      <c r="D21" s="220"/>
      <c r="E21" s="220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276"/>
      <c r="R21" s="81"/>
      <c r="S21" s="81"/>
      <c r="T21" s="105" t="str">
        <f>IF(ISBLANK(F13),"",IF(AB99,IF(U85&gt;0,TEXT(SUM(E13-T88,F13),"$#,##0")&amp;" "&amp;U12&amp;IF(T2," TERM1 FSEOG"," TERM2 GSEOG, "),TEXT(SUM(E13,F13),"$#,##0")&amp;" "&amp;U12&amp;" TERM2 FSEOG, "),TEXT(F13,"$#,##0")&amp;" "&amp;U12&amp;" TERM2 FSEOG, "))</f>
        <v/>
      </c>
      <c r="U21" s="107">
        <f t="shared" si="0"/>
        <v>0</v>
      </c>
      <c r="V21" s="183" t="e">
        <f>IF(ISBLANK(E13),ROUNDUP('Page 2'!$U$54,2),IF(AB99,ROUNDUP('Page 2'!$U$54,2),IF(T88=0,SUM(E13,ROUNDUP('Page 2'!$U$54,2)),IF(T2,SUM(ROUNDUP('Page 2'!$U$54,2),E13-T88),IF(PercentComplete=100%,SUM(ROUNDUP('Page 2'!$U$54,2),E13-T88),E13)))))</f>
        <v>#VALUE!</v>
      </c>
      <c r="W21" s="107"/>
      <c r="X21" s="215" t="e">
        <f>IF(V21=0,"",TEXT(V21,"$#,##0")&amp;" "&amp;U12&amp;" TERM1 FSEOG, ")</f>
        <v>#VALUE!</v>
      </c>
      <c r="Y21" s="107"/>
      <c r="Z21" s="151" t="str">
        <f>IF(ISBLANK(G13),"",TEXT(G13,"$#,##0")&amp;" "&amp;W12&amp;" EST FSEOG, ")</f>
        <v/>
      </c>
      <c r="AA21" s="107"/>
      <c r="AB21" s="107"/>
      <c r="AC21" s="198"/>
    </row>
    <row r="22" spans="1:29" ht="30" customHeight="1" x14ac:dyDescent="0.25">
      <c r="A22" s="81"/>
      <c r="B22" s="146"/>
      <c r="C22" s="428" t="s">
        <v>638</v>
      </c>
      <c r="D22" s="429"/>
      <c r="E22" s="334"/>
      <c r="F22" s="333"/>
      <c r="G22" s="333"/>
      <c r="H22" s="358" t="str">
        <f>IF(OR(C24="SSACI (Indiana State Assistance Grant)",C24="21CENT (Indiana 21st Century Scholarship)",C24="INMILT (Indiana Military Grant - CVO)",C24="INMINT (Indiana Minority Teachers Scholarship)",C24="INPART (Indiana Adult Student Grant)",C24="INROTC (Indiana ROTC Grant)",C24="KCSCHA (Kansas City Scholars Scholarship)",C24="NCTAP (North Carolina Tuition Assistance)",C24="NGHES (Next Generation Hoosiers Scholarship)",C25="SSACI (Indiana State Assistance Grant)",C25="21CENT (Indiana 21st Century Scholarship)",C25="INMILT (Indiana Military Grant - CVO)",C25="INMINT (Indiana Minority Teachers Scholarship)",C25="INPART (Indiana Adult Student Grant)",C25="INROTC (Indiana ROTC Grant)",C25="KCSCHA (Kansas City Scholars Scholarship)",C25="NCTAP (North Carolina Tuition Assistance)",C25="NGHES (Next Generation Hoosiers Scholarship)",C26="SSACI (Indiana State Assistance Grant)",C26="21CENT (Indiana 21st Century Scholarship)",C26="INMILT (Indiana Military Grant - CVO)",C26="INMINT (Indiana Minority Teachers Scholarship)",C26="INPART (Indiana Adult Student Grant)",C26="INROTC (Indiana ROTC Grant)",C26="KCSCHA (Kansas City Scholars Scholarship)",C26="NCTAP (North Carolina Tuition Assistance)",C26="NGHES (Next Generation Hoosiers Scholarship)",C27="SSACI (Indiana State Assistance Grant)",C27="21CENT (Indiana 21st Century Scholarship)",C27="INMILT (Indiana Military Grant - CVO)",C27="INMINT (Indiana Minority Teachers Scholarship)",C27="INPART (Indiana Adult Student Grant)",C27="INROTC (Indiana ROTC Grant)",C27="KCSCHA (Kansas City Scholars Scholarship)",C27="NCTAP (North Carolina Tuition Assistance)",C27="NGHES (Next Generation Hoosiers Scholarship)"),"&lt;-- Please enter prorated tuition and resource fee","")</f>
        <v/>
      </c>
      <c r="I22" s="143"/>
      <c r="J22" s="143"/>
      <c r="K22" s="143"/>
      <c r="L22" s="143"/>
      <c r="M22" s="143"/>
      <c r="N22" s="143"/>
      <c r="O22" s="143"/>
      <c r="P22" s="220"/>
      <c r="Q22" s="276"/>
      <c r="R22" s="81"/>
      <c r="S22" s="81"/>
      <c r="T22" s="105"/>
      <c r="U22" s="107"/>
      <c r="V22" s="183"/>
      <c r="W22" s="107"/>
      <c r="X22" s="215"/>
      <c r="Y22" s="107"/>
      <c r="Z22" s="152" t="str">
        <f>IF(ISBLANK(G14),"",TEXT(G14,"$#,##0")&amp;" "&amp;W12&amp;" EST TEACH, ")</f>
        <v/>
      </c>
      <c r="AA22" s="107"/>
      <c r="AB22" s="107"/>
      <c r="AC22" s="198"/>
    </row>
    <row r="23" spans="1:29" ht="24" customHeight="1" x14ac:dyDescent="0.25">
      <c r="A23" s="81"/>
      <c r="B23" s="146"/>
      <c r="C23" s="455" t="s">
        <v>197</v>
      </c>
      <c r="D23" s="456"/>
      <c r="E23" s="327" t="s">
        <v>198</v>
      </c>
      <c r="F23" s="327" t="s">
        <v>552</v>
      </c>
      <c r="G23" s="323" t="s">
        <v>494</v>
      </c>
      <c r="H23" s="323" t="s">
        <v>607</v>
      </c>
      <c r="I23" s="323"/>
      <c r="J23" s="143"/>
      <c r="K23" s="143"/>
      <c r="L23" s="143"/>
      <c r="M23" s="143"/>
      <c r="N23" s="143"/>
      <c r="O23" s="143"/>
      <c r="P23" s="220"/>
      <c r="Q23" s="276"/>
      <c r="R23" s="120"/>
      <c r="S23" s="81"/>
      <c r="T23" s="105" t="str">
        <f>IF(ISBLANK(F14),"",IF(AB100,IF(U85&gt;0,TEXT(SUM(E14-T89,F14),"$#,##0")&amp;" "&amp;U12&amp;IF(T2," TERM1 TEACH"," TERM2 TEACH, "),TEXT(SUM(E14,F14),"$#,##0")&amp;" "&amp;U12&amp;" TERM2 TEACH, "),TEXT(F14,"$#,##0")&amp;" "&amp;U12&amp;" TERM2 TEACH, "))</f>
        <v/>
      </c>
      <c r="U23" s="107">
        <f>IF(AB100,E14,0)</f>
        <v>0</v>
      </c>
      <c r="V23" s="183" t="e">
        <f>IF(ISBLANK(E14),ROUNDUP('Page 2'!$U$55,2),IF(AB100,ROUNDUP('Page 2'!$U$55,2),IF(T89=0,SUM(E14,ROUNDUP('Page 2'!$U$55,2)),IF(T2,SUM(ROUNDUP('Page 2'!$U$55,2),E14-T89),IF(PercentComplete=100%,SUM(ROUNDUP('Page 2'!$U$55,2),E14-T89),E14)))))</f>
        <v>#VALUE!</v>
      </c>
      <c r="W23" s="107"/>
      <c r="X23" s="215" t="e">
        <f>IF(V23=0,"",TEXT(V23,"$#,##0")&amp;" "&amp;U12&amp;" TERM1 TEACH GRANT, ")</f>
        <v>#VALUE!</v>
      </c>
      <c r="Y23" s="107"/>
      <c r="Z23" s="344" t="e">
        <f>X19&amp;X20&amp;X21&amp;X22&amp;X23&amp;X24&amp;X25&amp;X26&amp;X27&amp;X28&amp;X34&amp;X35&amp;X36&amp;X37&amp;X38&amp;X39&amp;X40&amp;X41&amp;X42</f>
        <v>#VALUE!</v>
      </c>
      <c r="AA23" s="107"/>
      <c r="AB23" s="107"/>
      <c r="AC23" s="198"/>
    </row>
    <row r="24" spans="1:29" x14ac:dyDescent="0.25">
      <c r="A24" s="81"/>
      <c r="B24" s="146"/>
      <c r="C24" s="457"/>
      <c r="D24" s="458"/>
      <c r="E24" s="189"/>
      <c r="F24" s="189"/>
      <c r="G24" s="337" t="str">
        <f>IFERROR(VLOOKUP(C24,$W$144:$X$199,2,FALSE),IF(ISBLANK(C24),"",IF(Y202,IF('Page 1'!C56&lt;90,E24,SUM(PRODUCT(E24,-PercentComplete),E24)),SUM(PRODUCT(E24,-PercentComplete),E24))))</f>
        <v/>
      </c>
      <c r="H24" s="281" t="str">
        <f>IFERROR(VLOOKUP(C24,$Z$144:$AA$199,2,FALSE),"")</f>
        <v/>
      </c>
      <c r="I24" s="93"/>
      <c r="J24" s="143"/>
      <c r="K24" s="333" t="str">
        <f>IFERROR(VLOOKUP(C24,$T$202:$U$257,2,FALSE),"")</f>
        <v/>
      </c>
      <c r="L24" s="143"/>
      <c r="M24" s="143"/>
      <c r="N24" s="143"/>
      <c r="O24" s="143"/>
      <c r="P24" s="220"/>
      <c r="Q24" s="276"/>
      <c r="R24" s="81"/>
      <c r="S24" s="81"/>
      <c r="T24" s="105" t="str">
        <f>IF(ISBLANK(F16),IF(SUM(H16,I16)=0,IF(Z97,TEXT(E16,"$#,##0")&amp;IF(T2," UNSUB1,"," UNSUB2,"),""),IF(W100,IF(AB104,IF(T90&gt;0,TEXT(SUM((H16-T90)*W14,H16-T90),"$#,##0")&amp;" 1ST DISBURSEMENT OF "&amp;IF(T2,"UNSUB1,","UNSUB2,")&amp;TEXT(SUM(I16*W14,I16),"$#,##0")&amp;" 2ND DISBURSEMENT OF "&amp;IF(T2,"UNSUB1,","UNSUB2"),TEXT(SUM(H16*W14,I16*W14,H16,I16),"$#,##0")&amp;IF(T2," UNSUB1,"," UNSUB2,")),IF(AC97,TEXT(SUM((I16*W14),I16),"$#,##0")&amp;" 2ND DISBURSEMENT OF "&amp;IF(T2,"UNSUB1,","UNSUB2,"),"")),IF(Z97,IF(E16=T90,TEXT(SUM(E16*W14,E16),"$#,##0"),TEXT(SUM((E16-T90)*(W14),(E16-T90)),"$#,##0"))&amp;" 2ND DISBURSEMENT OF "&amp;IF(T2,"UNSUB1,","UNSUB2,"),""))),IF(Z97,TEXT(SUM((E16-T90)*W14,E16-T90,F16),"$#,##0")&amp;" UNSUB, ",TEXT(F16,"$#,##0")&amp;IF(T2," UNSUB2, "," UNSUB, ")))</f>
        <v/>
      </c>
      <c r="U24" s="107">
        <f>IF(Z97,E16,0)</f>
        <v>0</v>
      </c>
      <c r="V24" s="183" t="e">
        <f>IF(ISBLANK(E16),ROUNDUP('Page 2'!$U$46,2),IF(Z97,ROUNDUP('Page 2'!$U$46,2),IF(AD104,IF(T90&gt;0,ROUNDUP(H16-T90,2),ROUNDUP('Page 2'!$U$46,2)),IF(T90=0,SUM(ROUNDUP('Page 2'!$U$46,2),E16),IF(T2,SUM(ROUNDUP('Page 2'!$U$46,2),E16-T90),IF(PercentComplete=100%,SUM(ROUNDUP('Page 2'!$U$46,2),E16-T90),E16))))))</f>
        <v>#VALUE!</v>
      </c>
      <c r="W24" s="107"/>
      <c r="X24" s="215" t="e">
        <f>IF(V24=0,IF(T120="--Misc Notes--","",AA47),IF('Page 2'!$U$46=0,IF(W100,IF(AB104,"",IF(U85=0,X103&amp;Z103,IF(AC97,X103,Z103))),"NET "&amp;TEXT(V24,"$#,##0")&amp;IF(T2," UNSUB1, "," UNSUB2, ")),IF(W100,IF($AC$97,X103,IF(W100,X103&amp;Z103,"NET "&amp;TEXT(V24,"$#,##0")&amp;IF(T2," UNSUB1, "," UNSUB2, "))),"NET "&amp;TEXT(V24,"$#,##0")&amp;IF(T2," UNSUB1, "," UNSUB2, "))))</f>
        <v>#VALUE!</v>
      </c>
      <c r="Y24" s="107"/>
      <c r="Z24" s="108" t="s">
        <v>316</v>
      </c>
      <c r="AA24" s="107"/>
      <c r="AB24" s="107"/>
      <c r="AC24" s="198"/>
    </row>
    <row r="25" spans="1:29" x14ac:dyDescent="0.25">
      <c r="A25" s="81"/>
      <c r="B25" s="146"/>
      <c r="C25" s="457"/>
      <c r="D25" s="458"/>
      <c r="E25" s="141"/>
      <c r="F25" s="141"/>
      <c r="G25" s="337" t="str">
        <f>IFERROR(VLOOKUP(C25,$W$144:$X$199,2,FALSE),IF(ISBLANK(C25),"",IF(Y202,IF('Page 1'!C56&lt;90,E25,SUM(PRODUCT(E25,-PercentComplete),E25)),SUM(PRODUCT(E25,-PercentComplete),E25))))</f>
        <v/>
      </c>
      <c r="H25" s="281" t="str">
        <f t="shared" ref="H25:H27" si="1">IFERROR(VLOOKUP(C25,$Z$144:$AA$199,2,FALSE),"")</f>
        <v/>
      </c>
      <c r="I25" s="143"/>
      <c r="J25" s="143"/>
      <c r="K25" s="333" t="str">
        <f t="shared" ref="K25:K27" si="2">IFERROR(VLOOKUP(C25,$T$202:$U$257,2,FALSE),"")</f>
        <v/>
      </c>
      <c r="L25" s="148"/>
      <c r="M25" s="143"/>
      <c r="N25" s="143"/>
      <c r="O25" s="143"/>
      <c r="P25" s="220"/>
      <c r="Q25" s="276"/>
      <c r="R25" s="81"/>
      <c r="S25" s="81"/>
      <c r="T25" s="105" t="str">
        <f>IF(ISBLANK(F17),IF(SUM(H17,I17)=0,IF(Z98,TEXT(E17,"$#,##0")&amp;IF(T2," SUB1,"," SUB2,"),""),IF(W100,IF(AB105,IF(T91&gt;0,TEXT(SUM((H17-T91)*W14,H17-T91),"$#,##0")&amp;" 1ST DISBURSEMENT OF "&amp;IF(T2,"SUB1,","SUB2,")&amp;TEXT(SUM(I17*W14,I17),"$#,##0")&amp;" 2ND DISBURSEMENT OF "&amp;IF(T2,"SUB1,","SUB2"),TEXT(SUM(H17*W14,I17*W14,I17,H17),"$#,##0")&amp;IF(T2,"SUB1,","SUB2,")),IF(AC97,TEXT(SUM((I17*W14),I17),"$#,##0")&amp;" 2ND DISBURSEMENT OF "&amp;IF(T2,"SUB1,","SUB2,"),"")),IF(Z98,IF(E17=T91,TEXT(SUM(E17*W14,E17),"$#,##0"),TEXT(SUM((E17-T91)*(W14),(E17-T91)),"$#,##0"))&amp;" 2ND DISBURSEMENT OF "&amp;IF(T2,"SUB1,","SUB2,"),""))),IF(Z98,TEXT(SUM((E17-T91)*W14,E17-T91,F17),"$#,##0")&amp;" SUB, ",TEXT(F17,"$#,##0")&amp;IF(T2," SUB2, "," SUB, ")))</f>
        <v/>
      </c>
      <c r="U25" s="107">
        <f t="shared" ref="U25:U28" si="3">IF(Z98,E17,0)</f>
        <v>0</v>
      </c>
      <c r="V25" s="183" t="e">
        <f>IF(ISBLANK(E17),ROUNDUP('Page 2'!$U$47,2),IF(Z98,ROUNDUP('Page 2'!$U$47,2),IF(AD105,IF(T90&gt;0,ROUNDUP(H17-T91,2),ROUNDUP('Page 2'!$U$47,2)),IF(T91=0,SUM(ROUNDUP('Page 2'!$U$47,2),E17),IF(T2,SUM(ROUNDUP('Page 2'!$U$47,2),E17-T91),IF(PercentComplete=100%,SUM(ROUNDUP('Page 2'!$U$47,2),E17-T91),E17))))))</f>
        <v>#VALUE!</v>
      </c>
      <c r="W25" s="107"/>
      <c r="X25" s="215" t="e">
        <f>IF(V25=0,IF($T$120="--Misc Notes--","",AA48),IF('Page 2'!$U$47=0,IF($W$100,IF(AB105,"",IF($U$85=0,X104&amp;Z104,IF(AC97,X104,Z104))),"NET "&amp;TEXT(V25,"$#,##0")&amp;IF(T2," SUB1, "," SUB2, ")),IF($W$100,IF($AC$97,X104,IF(W100,X104&amp;Z104,"NET "&amp;TEXT(V25,"$#,##0")&amp;IF(T2," SUB1, "," SUB2, "))),"NET "&amp;TEXT(V25,"$#,##0")&amp;IF(T2," SUB1, "," SUB2, "))))</f>
        <v>#VALUE!</v>
      </c>
      <c r="Y25" s="107"/>
      <c r="Z25" s="107" t="str">
        <f>_xlfn.TEXTJOIN(CHAR(10),TRUE,Z19&amp;Z20&amp;Z21&amp;Z22)</f>
        <v/>
      </c>
      <c r="AA25" s="107"/>
      <c r="AB25" s="107"/>
      <c r="AC25" s="198"/>
    </row>
    <row r="26" spans="1:29" x14ac:dyDescent="0.25">
      <c r="A26" s="81"/>
      <c r="B26" s="146"/>
      <c r="C26" s="459"/>
      <c r="D26" s="460"/>
      <c r="E26" s="141"/>
      <c r="F26" s="141"/>
      <c r="G26" s="337" t="str">
        <f>IFERROR(VLOOKUP(C26,$W$144:$X$199,2,FALSE),IF(ISBLANK(C26),"",IF(Y202,IF('Page 1'!C56&lt;90,E26,SUM(PRODUCT(E26,-PercentComplete),E26)),SUM(PRODUCT(E26,-PercentComplete),E26))))</f>
        <v/>
      </c>
      <c r="H26" s="281" t="str">
        <f t="shared" si="1"/>
        <v/>
      </c>
      <c r="I26" s="220"/>
      <c r="J26" s="220"/>
      <c r="K26" s="333" t="str">
        <f t="shared" si="2"/>
        <v/>
      </c>
      <c r="L26" s="220"/>
      <c r="M26" s="220"/>
      <c r="N26" s="220"/>
      <c r="O26" s="220"/>
      <c r="P26" s="220"/>
      <c r="Q26" s="276"/>
      <c r="R26" s="81"/>
      <c r="S26" s="81"/>
      <c r="T26" s="105" t="str">
        <f>IF(ISBLANK(F18),IF(SUM(H18,I18)=0,IF(Z99,TEXT(E18,"$#,##0")&amp;IF(T2," PERKINS1,"," PERKINS2,"),""),IF(W100,IF(AB106,IF(T92&gt;0,TEXT(SUM((H18-T92)*W14,H18-T92),"$#,##0")&amp;" 1ST DISBURSEMENT OF "&amp;IF(T2,"PERKINS1,","PERKINS2,")&amp;TEXT(SUM(I18*W14,I18),"$#,##0")&amp;" 2ND DISBURSEMENT OF "&amp;IF(T2,"PERKINS1,","PERKINS2"),TEXT(SUM(H18*W14,I18*W14,H18,I18),"$#,##0")&amp;IF(T2,"PERKINS1,","PERKINS2,")),IF(AC97,TEXT(SUM((I18*W14),I18),"$#,##0")&amp;" 2ND DISBURSEMENT OF "&amp;IF(T2,"PERKINS1,","PERKINS2,"),"")),IF(Z99,IF(E18=T92,TEXT(SUM(E18*W14,E18),"$#,##0"),TEXT(SUM((E18-T92)*(W14),(E18-T92)),"$#,##0"))&amp;" 2ND DISBURSEMENT OF "&amp;IF(T2,"PERKINS1,","PERKINS2,"),""))),IF(Z99,TEXT(SUM((E18-T92)*W14,E18-T92,F18),"$#,##0")&amp;" PERKINS, ",TEXT(F18,"$#,##0")&amp;IF(T2," PERKINS2, "," PERKINS, ")))</f>
        <v/>
      </c>
      <c r="U26" s="107">
        <f t="shared" si="3"/>
        <v>0</v>
      </c>
      <c r="V26" s="183" t="e">
        <f>IF(ISBLANK(E18),ROUNDUP('Page 2'!$U$48,2),IF(Z99,ROUNDUP('Page 2'!$U$48,2),IF(AD106,IF(T92&gt;0,ROUNDUP(H18-T92,2),ROUNDUP('Page 2'!$U$48,2)),IF(T92=0,SUM(ROUNDUP('Page 2'!$U$48,2),E18),IF(T2,SUM(ROUNDUP('Page 2'!$U$48,2),E18-T92),IF(PercentComplete=100%,SUM(ROUNDUP('Page 2'!$U$48,2),E18-T92),E18))))))</f>
        <v>#VALUE!</v>
      </c>
      <c r="W26" s="107"/>
      <c r="X26" s="215" t="e">
        <f>IF(V26=0,IF(T120="--Misc Notes--","",AA49),IF('Page 2'!$U$48=0,IF(W100,IF(AB106,"",IF(U85=0,X105&amp;Z105,IF(AC97,X105,Z105))),"NET "&amp;TEXT(V26,"$#,##0")&amp;IF(T2," PERKINS1, "," PERKINS2, ")),IF(W100,IF($AC$97,X105,IF(W100,X105&amp;Z105,"NET "&amp;TEXT(V26,"$#,##0")&amp;IF(T2," PERKINS1, "," PERKINS2, "))),"NET "&amp;TEXT(V26,"$#,##0")&amp;IF(T2," PERKINS1, "," PERKINS2, "))))</f>
        <v>#VALUE!</v>
      </c>
      <c r="Y26" s="107"/>
      <c r="Z26" s="107"/>
      <c r="AA26" s="107"/>
      <c r="AB26" s="107"/>
      <c r="AC26" s="198"/>
    </row>
    <row r="27" spans="1:29" x14ac:dyDescent="0.25">
      <c r="A27" s="81"/>
      <c r="B27" s="146"/>
      <c r="C27" s="459"/>
      <c r="D27" s="460"/>
      <c r="E27" s="188"/>
      <c r="F27" s="188"/>
      <c r="G27" s="337" t="str">
        <f>IFERROR(VLOOKUP(C27,$W$144:$X$199,2,FALSE),IF(ISBLANK(C27),"",IF(Y202,IF('Page 1'!C56&lt;90,E27,SUM(PRODUCT(E27,-PercentComplete),E27)),SUM(PRODUCT(E27,-PercentComplete),E27))))</f>
        <v/>
      </c>
      <c r="H27" s="281" t="str">
        <f t="shared" si="1"/>
        <v/>
      </c>
      <c r="I27" s="220"/>
      <c r="J27" s="220"/>
      <c r="K27" s="333" t="str">
        <f t="shared" si="2"/>
        <v/>
      </c>
      <c r="L27" s="220"/>
      <c r="M27" s="220"/>
      <c r="N27" s="220"/>
      <c r="O27" s="220"/>
      <c r="P27" s="142"/>
      <c r="Q27" s="247"/>
      <c r="R27" s="157"/>
      <c r="S27" s="81"/>
      <c r="T27" s="105" t="str">
        <f>IF(ISBLANK(F19),IF(SUM(H19,I19)=0,IF(Z100,TEXT(E19,"$#,##0")&amp;IF(T2," GRAD PLUS1,"," GRAD PLUS2,"),""),IF(W100,IF(AB107,IF(T93&gt;0,TEXT(SUM((H19-T93)*W14,H19-T93),"$#,##0")&amp;" 1ST DISBURSEMENT OF "&amp;IF(T2,"GRAD PLUS1,","GRAD PLUS2,")&amp;TEXT(SUM(I19*W14,I19),"$#,##0")&amp;" 2ND DISBURSEMENT OF "&amp;IF(T2,"GRAD PLUS1,","GRAD PLUS2"),TEXT(SUM(H19*W14,I19*W14,I19,H19),"$#,##0")&amp;IF(T2,"GRAD PLUS1,","GRAD PLUS2,")),IF(AC97,TEXT(SUM((I19*W14),I19),"$#,##0")&amp;" 2ND DISBURSEMENT OF "&amp;IF(T2,"GRAD PLUS1,","GRAD PLUS2,"),"")),IF(Z100,IF(E19=T93,TEXT(SUM(E19*W14,E19),"$#,##0"),TEXT(SUM((E19-T93)*(W14),(E19-T93)),"$#,##0"))&amp;" 2ND DISBURSEMENT OF "&amp;IF(T2,"GRAD PLUS1,","GRAD PLUS2,"),""))),IF(Z100,TEXT(SUM((E19-T93)*W14,E19-T93,F19),"$#,##0")&amp;" GRAD PLUS, ",TEXT(F19,"$#,##0")&amp;IF(T2," GRAD PLUS2, "," GRAD PLUS, ")))</f>
        <v/>
      </c>
      <c r="U27" s="107">
        <f t="shared" si="3"/>
        <v>0</v>
      </c>
      <c r="V27" s="183" t="e">
        <f>IF(ISBLANK(E19),ROUNDUP('Page 2'!$U$49,2),IF(Z100,ROUNDUP('Page 2'!$U$49,2),IF(AD107,IF(T93&gt;0,ROUNDUP(H19-T93,2),ROUNDUP('Page 2'!$U$49,2)),IF(T93=0,SUM(ROUNDUP('Page 2'!$U$49,2),E19),IF(T2,SUM(ROUNDUP('Page 2'!$U$49,2),E19-T93),IF(PercentComplete=100%,SUM(ROUNDUP('Page 2'!$U$49,2),E19-T93),E19))))))</f>
        <v>#VALUE!</v>
      </c>
      <c r="W27" s="107"/>
      <c r="X27" s="215" t="e">
        <f>IF(V27=0,IF(T120="--Misc Notes--","",AA50),IF('Page 2'!$U$49=0,IF(W100,IF(AB107,"",IF(U85=0,X106&amp;Z106,IF(AC97,X106,Z106))),"NET "&amp;TEXT(V27,"$#,##0")&amp;IF(T2," GRAD PLUS1, "," GRAD PLUS2, ")),IF(W100,IF($AC$97,X106,IF(W100,X106&amp;Z106,"NET "&amp;TEXT(V27,"$#,##0")&amp;IF(T2," GRAD PLUS1, "," GRAD PLUS2, "))),"NET "&amp;TEXT(V27,"$#,##0")&amp;IF(T2," GRAD PLUS1, "," GRAD PLUS2, "))))</f>
        <v>#VALUE!</v>
      </c>
      <c r="Y27" s="107"/>
      <c r="Z27" s="108" t="s">
        <v>413</v>
      </c>
      <c r="AA27" s="107"/>
      <c r="AB27" s="107"/>
      <c r="AC27" s="198"/>
    </row>
    <row r="28" spans="1:29" x14ac:dyDescent="0.25">
      <c r="A28" s="81"/>
      <c r="B28" s="146"/>
      <c r="C28" s="234" t="s">
        <v>367</v>
      </c>
      <c r="D28" s="234"/>
      <c r="E28" s="234"/>
      <c r="F28" s="234"/>
      <c r="G28" s="234"/>
      <c r="H28" s="234"/>
      <c r="I28" s="234"/>
      <c r="J28" s="234"/>
      <c r="K28" s="234" t="s">
        <v>363</v>
      </c>
      <c r="L28" s="234"/>
      <c r="M28" s="234"/>
      <c r="N28" s="234"/>
      <c r="O28" s="234"/>
      <c r="P28" s="234"/>
      <c r="Q28" s="147"/>
      <c r="R28" s="81"/>
      <c r="S28" s="81"/>
      <c r="T28" s="105" t="str">
        <f>IF(ISBLANK(F20),IF(SUM(H20,I20)=0,IF(Z101,TEXT(E120,"$#,##0")&amp;IF(T2," PARENT PLUS1,"," PARENT PLUS2,"),""),IF(W100,IF(AB108,IF(T94&gt;0,TEXT(SUM((H20-T94)*W14,H20-T94),"$#,##0")&amp;" 1ST DISBURSEMENT OF "&amp;IF(T2,"PARENT PLUS1,","PARENT PLUS2,")&amp;TEXT(SUM(I20*W14,I20),"$#,##0")&amp;" 2ND DISBURSEMENT OF "&amp;IF(T2,"PARENT PLUS1,","PARENT PLUS2,"),TEXT(SUM(H20*W14,I20*W14,H20,I20),"$#,##0")&amp;IF(T2,"PARENT PLUS1,","PARENT PLUS2,")),IF(AC97,TEXT(SUM((I20*W14),I20),"$#,##0")&amp;" 2ND DISBURSEMENT OF "&amp;IF(T2,"PARENT PLUS1,","PARENT PLUS2,"),"")),IF(Z101,IF(E20=T94,TEXT(SUM(E20*W14,E20),"$#,##0"),TEXT(SUM((E20-T94)*(W14),(E20-T94)),"$#,##0"))&amp;" 2ND DISBURSEMENT OF "&amp;IF(T2,"PARENT PLUS1,","PARENT PLUS2,"),""))),IF(Z101,TEXT(SUM((E20-T94)*W14,E20-T94,F20),"$#,##0")&amp;" PARENT PLUS, ",TEXT(F20,"$#,##0")&amp;IF(T2," PARENT PLUS2, "," PARENT PLUS, ")))</f>
        <v/>
      </c>
      <c r="U28" s="107">
        <f t="shared" si="3"/>
        <v>0</v>
      </c>
      <c r="V28" s="183" t="e">
        <f>IF(ISBLANK(E20),ROUNDUP('Page 2'!$U$50,2),IF(Z101,ROUNDUP('Page 2'!$U$50,2),IF(AD108,IF(T90&gt;0,ROUNDUP(H20-T94,2),ROUNDUP('Page 2'!$U$50,2)),IF(T94=0,SUM(ROUNDUP('Page 2'!$U$50,2),E20),IF(T2,SUM(ROUNDUP('Page 2'!$U$50,2),E20-T94),IF(PercentComplete=100%,SUM(ROUNDUP('Page 2'!$U$50,2),E20-T94),E20))))))</f>
        <v>#VALUE!</v>
      </c>
      <c r="W28" s="198"/>
      <c r="X28" s="215" t="e">
        <f>IF(V28=0,IF(T120="--Misc Notes--","",AA51),IF('Page 2'!$U$50=0,IF(W100,IF(AB108,"",IF(U85=0,X107&amp;Z107,IF(AC97,X107,Z107))),"NET "&amp;TEXT(V28,"$#,##0")&amp;IF(T2," PARENT PLUS1, "," PARENT PLUS2, ")),IF(W100,IF($AC$97,X107,IF(W100,X107&amp;Z107,"NET "&amp;TEXT(V28,"$#,##0")&amp;IF(T2," PARENT PLUS1, "," PARENT PLUS2, "))),"NET "&amp;TEXT(V28,"$#,##0")&amp;IF(T2," PARENT PLUS1, "," PARENT PLUS2, "))))</f>
        <v>#VALUE!</v>
      </c>
      <c r="Y28" s="198"/>
      <c r="Z28" s="338" t="e">
        <f>SUM(V19:V28,G24:G27)</f>
        <v>#VALUE!</v>
      </c>
      <c r="AA28" s="198"/>
      <c r="AB28" s="198"/>
      <c r="AC28" s="198"/>
    </row>
    <row r="29" spans="1:29" x14ac:dyDescent="0.25">
      <c r="A29" s="81"/>
      <c r="B29" s="240"/>
      <c r="C29" s="446"/>
      <c r="D29" s="447"/>
      <c r="E29" s="447"/>
      <c r="F29" s="447"/>
      <c r="G29" s="448"/>
      <c r="H29" s="261"/>
      <c r="I29" s="261"/>
      <c r="J29" s="234"/>
      <c r="K29" s="442" t="s">
        <v>360</v>
      </c>
      <c r="L29" s="443"/>
      <c r="M29" s="442" t="str">
        <f>IF(ISBLANK(D20),IF(ISBLANK(D19),IF(ISBLANK(E20),IF(ISBLANK(E19),"Unsubsidized Loan","Unsubsidized/Grad Plus"),"Unsub/Grad Plus/Parent Plus"),IF(ISBLANK(D16),"Grad Plus","Unsubsidized/Grad Plus")),IF(ISBLANK(D19),IF(ISBLANK(D16),"Parent Plus","Unsubsidized/Parent Plus"),"Unsub/Grad Plus/Parent Plus"))</f>
        <v>Unsubsidized Loan</v>
      </c>
      <c r="N29" s="443"/>
      <c r="O29" s="442" t="str">
        <f>IF(ISBLANK(D14),IF(ISBLANK(D13),"Pell Grant",IF(ISBLANK(D14),IF(T120="FSEOG","Pell Grant/FSEOG","Pell Grant"),"Pell Grant/FSEOG")),IF(ISBLANK(D13),"Pell Grant/Teach","Pell Grant/FSEOG/Teach"))</f>
        <v>Pell Grant</v>
      </c>
      <c r="P29" s="443"/>
      <c r="Q29" s="147"/>
      <c r="R29" s="81"/>
      <c r="S29" s="81"/>
      <c r="T29" s="198"/>
      <c r="U29" s="212" t="s">
        <v>233</v>
      </c>
      <c r="V29" s="198"/>
      <c r="W29" s="198"/>
      <c r="X29" s="212" t="s">
        <v>256</v>
      </c>
      <c r="Y29" s="198"/>
      <c r="Z29" s="106"/>
      <c r="AA29" s="198"/>
      <c r="AB29" s="198"/>
      <c r="AC29" s="198"/>
    </row>
    <row r="30" spans="1:29" x14ac:dyDescent="0.25">
      <c r="A30" s="81"/>
      <c r="B30" s="240"/>
      <c r="C30" s="449"/>
      <c r="D30" s="450"/>
      <c r="E30" s="450"/>
      <c r="F30" s="450"/>
      <c r="G30" s="451"/>
      <c r="H30" s="261"/>
      <c r="I30" s="261"/>
      <c r="J30" s="234"/>
      <c r="K30" s="444">
        <f>IF(U30=0,0,IF(T120&lt;&gt;"--Misc Notes--",IF(ISBLANK(D5),PRODUCT(ROUND(D17,0)/W15),IF(D17&gt;V25,PRODUCT(ROUND(V25,0)/W15),PRODUCT(ROUND(D17,0)/W15))),IF(PercentComplete&gt;60%,IF(T91=0,0,IF(V25&gt;T91,PRODUCT(ROUND(T91,0)/W15),PRODUCT(ROUND(V25,0)/W15))),IF(U30&lt;=0,0,IF(V25&gt;0,IF(T96=0,PRODUCT(ROUND(V25,0)/W15),IF(AB105,0,IF(AC97,TEXT(PRODUCT(ROUND(V25,0)/W15),"$#,##0"),TEXT(PRODUCT((ROUND(V25,0))/W15),"$#,##0")))),PRODUCT(ROUND(V25,0)/W15))))))</f>
        <v>0</v>
      </c>
      <c r="L30" s="445"/>
      <c r="M30" s="444">
        <f>IF(U30=0,0,IF(T120&lt;&gt;"--Misc Notes--",IF(ISBLANK(D5),TEXT(ROUND(PRODUCT(D16/W15),0),"$#,##0"),IF(D16&gt;V24,PRODUCT(ROUND(V24,0)/W15),PRODUCT(ROUND(D16,0)/W15))),IF(PercentComplete&gt;60%,IF(T90=0,0,IF(V24&gt;T90,PRODUCT(ROUND(T90,0)/W15),PRODUCT(ROUND(V24,0)/W15))),IF(U30&lt;=0,0,IF(V27=0,IF(V28=0,IF(V24=0,IF(T96=0,0,TEXT(PRODUCT(ROUND(D16,0)/W15),"$#,##0")),IF(W100,IF(AB104,IF(D16=0,0,TEXT(PRODUCT(ROUND(V24,0)/W15),"$#,##0")),IF(T90=0,TEXT(PRODUCT(ROUND(V24,0)/W15),"$#,##0"),TEXT(PRODUCT((ROUND(H16,0)-T90)/W15),"$#,##0"))),TEXT(PRODUCT(ROUND(V24,0)/W15),"$#,##0"))),IF(V24=0,IF(T96=0,TEXT(PRODUCT(ROUND(V28,0)/W16),"$#,##0"),TEXT(PRODUCT(ROUND(D16,0)/W15),"$#,##0")),TEXT(PRODUCT(ROUND(V24,0)/W15),"$#,##0")&amp;"/"&amp;TEXT(PRODUCT(ROUND(V28,0)/W16),"$#,##0"))),IF(V28=0,IF(V24=0,IF(T96=0,TEXT(PRODUCT(ROUND(V27,0)/W16),"$#,##0"),"$0/"&amp;TEXT(PRODUCT(ROUND(V27,0)/W16),"$#,##0")),TEXT(PRODUCT(ROUND(V24,0)/W15),"$#,##0")&amp;"/"&amp;TEXT(PRODUCT(ROUND(V27,0)/W13),"$#,##0")),IF(V24=0,IF(T96=0,TEXT(PRODUCT(ROUND(V27,0)/W16),"$#,##0")&amp;"/"&amp;TEXT(PRODUCT(ROUND(V28,0)/W16),"$#,##0"),TEXT(PRODUCT(ROUND(D16,0)/W15),"$#,##0")),TEXT(PRODUCT(ROUND(V24,0)/W15),"$#,##0")&amp;"/"&amp;TEXT(PRODUCT(ROUND(V27,0)/W16),"$#,##0")&amp;"/"&amp;TEXT(PRODUCT(ROUND(V28,0)/W16),"$#,##0"))))))))</f>
        <v>0</v>
      </c>
      <c r="N30" s="445"/>
      <c r="O30" s="444">
        <f>IF(U30&lt;=0,0,IF(SUM(D11:E11,D13:E13,D14:E14)=0,IF(T120&lt;&gt;"--Misc Notes--",0,IF(V21=0,TEXT(SUM(ROUND(V19,0),V73),"$#,##0"),TEXT(SUM(ROUND(V19,0),V73),"$#,##0")&amp;"/"&amp;TEXT(SUM(V21,V75),"$#,##0"))),IF(T120&lt;&gt;"--Misc Notes--",IF(T120="FSEOG","$0/"&amp;D13,IF(V21=0,IF(V23=0,TEXT(SUM(ROUND(V19,0),V73),"$#,##0"),TEXT(SUM(ROUND(V19,0),V73),"$#,##0")&amp;"/"&amp;TEXT(SUM(V23,V75),"$#,##0")),TEXT(SUM(ROUND(V19,0),V73),"$#,##0")&amp;"/"&amp;TEXT(SUM(V21,V75),"$#,##0")&amp;"/"&amp;TEXT(SUM(V23,V76),"$#,##0"))),IF(V21=0,IF(V23=0,TEXT(SUM(ROUND(V19,0),V73),"$#,##0"),TEXT(SUM(ROUND(V19,0),V73),"$#,##0")&amp;"/"&amp;TEXT(SUM(V23,V75),"$#,##0")),TEXT(SUM(ROUND(V19,0),V73),"$#,##0")&amp;"/"&amp;TEXT(SUM(V21,V75),"$#,##0")&amp;"/"&amp;TEXT(SUM(V23,V76),"$#,##0")))))</f>
        <v>0</v>
      </c>
      <c r="P30" s="445"/>
      <c r="Q30" s="147"/>
      <c r="R30" s="81"/>
      <c r="S30" s="81"/>
      <c r="T30" s="198" t="s">
        <v>232</v>
      </c>
      <c r="U30" s="218">
        <f>SUM(D3:F20)</f>
        <v>0</v>
      </c>
      <c r="V30" s="212" t="s">
        <v>356</v>
      </c>
      <c r="W30" s="198" t="s">
        <v>254</v>
      </c>
      <c r="X30" s="150">
        <f>IF(AC97,IF(W100,SUM(I16:I20),SUM(E16:E20)),SUM(F11:F20,F24:F27,G11:G14,U19:U21,U23:U28))</f>
        <v>0</v>
      </c>
      <c r="Y30" s="198" t="s">
        <v>309</v>
      </c>
      <c r="Z30" s="158">
        <f>SUM(E24:E25)</f>
        <v>0</v>
      </c>
      <c r="AA30" s="198" t="s">
        <v>444</v>
      </c>
      <c r="AB30" s="218">
        <f>SUM(D3:D6)</f>
        <v>0</v>
      </c>
      <c r="AC30" s="198"/>
    </row>
    <row r="31" spans="1:29" x14ac:dyDescent="0.25">
      <c r="B31" s="240"/>
      <c r="C31" s="449"/>
      <c r="D31" s="450"/>
      <c r="E31" s="450"/>
      <c r="F31" s="450"/>
      <c r="G31" s="451"/>
      <c r="H31" s="261"/>
      <c r="I31" s="261"/>
      <c r="J31" s="234"/>
      <c r="K31" s="277"/>
      <c r="L31" s="277"/>
      <c r="M31" s="277"/>
      <c r="N31" s="277"/>
      <c r="O31" s="277"/>
      <c r="P31" s="277"/>
      <c r="Q31" s="247"/>
      <c r="T31" s="198" t="s">
        <v>357</v>
      </c>
      <c r="U31" s="184">
        <f>SUM(X30&amp;D14&amp;D16&amp;D17&amp;D18&amp;D19&amp;D20&amp;V31)</f>
        <v>0</v>
      </c>
      <c r="V31" s="150">
        <f>SUM(E11:E14,E16:E20)</f>
        <v>0</v>
      </c>
      <c r="W31" s="198" t="s">
        <v>310</v>
      </c>
      <c r="X31" s="158">
        <f>SUM(Z30,X30)</f>
        <v>0</v>
      </c>
      <c r="Y31" s="198" t="s">
        <v>339</v>
      </c>
      <c r="Z31" s="150">
        <f>SUM(X30:X31)</f>
        <v>0</v>
      </c>
      <c r="AA31" s="198" t="s">
        <v>639</v>
      </c>
      <c r="AB31" s="150">
        <f>SUM(D11:D14,E11:E14,F11:F14,D16:D20,E16:E20,F16:F20)</f>
        <v>0</v>
      </c>
      <c r="AC31" s="198"/>
    </row>
    <row r="32" spans="1:29" x14ac:dyDescent="0.25">
      <c r="B32" s="240"/>
      <c r="C32" s="449"/>
      <c r="D32" s="450"/>
      <c r="E32" s="450"/>
      <c r="F32" s="450"/>
      <c r="G32" s="451"/>
      <c r="H32" s="261"/>
      <c r="I32" s="261"/>
      <c r="J32" s="234"/>
      <c r="K32" s="234" t="s">
        <v>362</v>
      </c>
      <c r="L32" s="234"/>
      <c r="M32" s="234"/>
      <c r="N32" s="234"/>
      <c r="O32" s="234"/>
      <c r="P32" s="234"/>
      <c r="Q32" s="247"/>
      <c r="T32" s="217" t="s">
        <v>253</v>
      </c>
      <c r="U32" s="198"/>
      <c r="V32" s="108" t="s">
        <v>442</v>
      </c>
      <c r="W32" s="198"/>
      <c r="X32" s="217" t="s">
        <v>258</v>
      </c>
      <c r="Y32" s="198"/>
      <c r="Z32" s="212" t="s">
        <v>338</v>
      </c>
      <c r="AA32" s="198"/>
      <c r="AB32" s="198"/>
      <c r="AC32" s="198"/>
    </row>
    <row r="33" spans="2:29" x14ac:dyDescent="0.25">
      <c r="B33" s="240"/>
      <c r="C33" s="449"/>
      <c r="D33" s="450"/>
      <c r="E33" s="450"/>
      <c r="F33" s="450"/>
      <c r="G33" s="451"/>
      <c r="H33" s="261"/>
      <c r="I33" s="261"/>
      <c r="J33" s="234"/>
      <c r="K33" s="442" t="s">
        <v>360</v>
      </c>
      <c r="L33" s="443"/>
      <c r="M33" s="442" t="str">
        <f>IF(ISBLANK(F20),IF(ISBLANK(F19),"Unsubsidized Loan",IF(ISBLANK(F16),"Grad Plus","Unsubsidized/Grad Plus")),IF(ISBLANK(F19),IF(ISBLANK(F16),"Parent Plus","Unsubsidized/Parent Plus"),"Unsub/Grad Plus/Parent Plus"))</f>
        <v>Unsubsidized Loan</v>
      </c>
      <c r="N33" s="443"/>
      <c r="O33" s="442" t="str">
        <f>IF(ISBLANK(F14),IF(ISBLANK(F13),"Pell Grant","Pell Grant/FSEOG"),IF(ISBLANK(F13),"Pell Grant/Teach","Pell Grant/FSEOG/Teach"))</f>
        <v>Pell Grant</v>
      </c>
      <c r="P33" s="443"/>
      <c r="Q33" s="247"/>
      <c r="T33" s="111" t="s">
        <v>244</v>
      </c>
      <c r="U33" s="198"/>
      <c r="V33" s="111" t="s">
        <v>244</v>
      </c>
      <c r="W33" s="198"/>
      <c r="X33" s="111" t="s">
        <v>257</v>
      </c>
      <c r="Y33" s="198"/>
      <c r="Z33" s="111" t="s">
        <v>315</v>
      </c>
      <c r="AA33" s="198"/>
      <c r="AB33" s="198"/>
      <c r="AC33" s="198"/>
    </row>
    <row r="34" spans="2:29" x14ac:dyDescent="0.25">
      <c r="B34" s="240"/>
      <c r="C34" s="452"/>
      <c r="D34" s="453"/>
      <c r="E34" s="453"/>
      <c r="F34" s="453"/>
      <c r="G34" s="454"/>
      <c r="H34" s="261"/>
      <c r="I34" s="261"/>
      <c r="J34" s="234"/>
      <c r="K34" s="444">
        <f>IF(Z98,IF(E17=T90,SUM((E17*W14),E16),IF(T2,SUM(SUM((E17-T91)*(W14),F17,F5),(E17-T91)),SUM((E17*W14),E17,F17,F5))),IF(W100,IF(AC97,IF(AB105,SUM((H17*W14),(I17*W14)),SUM((I17*W14),I17)),0),SUM(F17,F5)))</f>
        <v>0</v>
      </c>
      <c r="L34" s="445"/>
      <c r="M34" s="444" t="str">
        <f>IF(SUM(E19,F19)=0,IF(SUM(E20,F20)=0,IF(AC113,IF(AB104,IF(E16=T90,0,IF(T90=0,TEXT(SUM((H16*W14),(I16*W14),H16,I16),"$#,##0"),TEXT(SUM((E16-T90)*W14,F16,F6,E16-T90),"$#,##0"))),IF(AD104,TEXT(SUM((I16*W14),I16),"$#,##0"),IF(E16=T90,TEXT(SUM((E16*W14),E16),"$#,##0"),IF(W100,F16,TEXT(SUM((E16-T90)*W14,F16,F6,E16-T90),"$#,##0"))))),IF(AC97,IF(T2,TEXT(SUM((E16-T90)*W14,F16,F6,E16-T90),"$#,##0"),TEXT(SUM((E16*W14),E16,F16,F6),"$#,##0")),TEXT(SUM(F16,F6),"$#,##0"))),IF(SUM(E16,F16)=0,IF(Z101,IF(E20=T94,TEXT(SUM((E20*W14),E20),"$#,##0"),TEXT(SUM((E20-T94)*W14,F20,F6,E20-T94),"$#,##0")),TEXT(SUM(F20,F6),"$#,##0")),IF(Z97,IF(E16=T90,TEXT(SUM((E16*W14),E16),"$#,##0"),TEXT(SUM((E16-T90)*W14,F16,F6,E16-T90),"$#,##0")),TEXT(SUM(F16,F6),"$#,##0"))&amp;"/"&amp;IF(Z101,IF(E20=T94,TEXT(SUM((E20*W14),E20),"$#,##0"),TEXT(SUM((E20-T94)*W14,F20,F6,E20-T94),"$#,##0")),TEXT(SUM(F20,F6),"$#,##0")))),IF(SUM(E20,F20)=0,IF(SUM(E16,F16)=0,IF(Z100,IF(E19=T93,TEXT(SUM((E19*W14),E19),"$#,##0"),TEXT(SUM((E19-T93)*W14,F19,F6,E19-T93),"$#,##0")),TEXT(SUM(F19,F6),"$#,##0")),IF(Z97,IF(E16=T90,TEXT(SUM((E16*W14),E16),"$#,##0"),TEXT(SUM((E16-T90)*W14,F16,F6,E16-T90),"$#,##0")),TEXT(SUM(F16,F6),"$#,##0"))&amp;"/"&amp;IF(Z100,IF(E19=T93,TEXT(SUM((E19*W14),E19),"$#,##0"),TEXT(SUM((E19-T93)*W14,F19,F6,E19-T93),"$#,##0")),TEXT(SUM(F19,F6),"$#,##0"))),IF(SUM(E16,F16)=0,IF(Z100,IF(E19=T93,TEXT(SUM((E19*W14),E19),"$#,##0"),TEXT(SUM((E19-T93)*W14,F19,F6,E19-T93),"$#,##0")),TEXT(SUM(F19,F6),"$#,##0"))&amp;"/"&amp;IF(Z101,IF(E20=T94,TEXT(SUM((E20*W14),E20),"$#,##0"),TEXT(SUM((E20-T94)*W14,F20,F6,E20-T94),"$#,##0")),TEXT(SUM(F20,F6),"$#,##0")),IF(Z97,IF(E16=T90,TEXT(SUM((E16*W14),E16),"$#,##0"),TEXT(SUM((E16-T90)*W14,F16,F6,E16-T90),"$#,##0")),TEXT(SUM(F16,F6),"$#,##0"))&amp;"/"&amp;IF(Z100,IF(E19=T93,TEXT(SUM((E19*W14),E19),"$#,##0"),TEXT(SUM((E19-T93)*W14,F19,F6,E19-T93),"$#,##0")),TEXT(SUM(F19,F6),"$#,##0"))&amp;"/"&amp;IF(Z101,IF(E20=T94,TEXT(SUM((E20*W14),E20),"$#,##0"),TEXT(SUM((E20-T94)*W14,F20,F6,E20-T94),"$#,##0")),TEXT(SUM(F20,F6),"$#,##0")))))</f>
        <v>$0</v>
      </c>
      <c r="N34" s="445"/>
      <c r="O34" s="444" t="str">
        <f>IF(ISBLANK(F14),IF(ISBLANK(F13),IF(AB97,TEXT(SUM(E11-T86,F11),"$#,##0"),TEXT(F11,"$#,##0")),TEXT(F11,"$#,##0")&amp;"/"&amp;TEXT(F13,"$#,##0")),IF(ISBLANK(F13),TEXT(F11,"$#,##0")&amp;"/"&amp;TEXT(F14,"$#,##0"),TEXT(F11,"$#,##0")&amp;"/"&amp;TEXT(F13,"$#,##0")&amp;"/"&amp;TEXT(F14,"$#,##0")))</f>
        <v>$0</v>
      </c>
      <c r="P34" s="445"/>
      <c r="Q34" s="247"/>
      <c r="T34" s="121" t="str">
        <f>IF(ISBLANK(F11),"",IF(AB97,IF(U85&gt;0,TEXT(SUM(E11-T86,F11),"$#,##0"),TEXT(SUM(AB97,F11),"$#,##0"))&amp;" "&amp;W12&amp;" PELL, ",TEXT(F11,"$#,##0")&amp;" "&amp;W12&amp;" PELL, "))</f>
        <v/>
      </c>
      <c r="U34" s="212"/>
      <c r="V34" s="121" t="str">
        <f>IF(ISBLANK(F11),"",IF(AB97,IF(U85&gt;0,TEXT(SUM(E11-T86,F11),"$#,##0"),TEXT(SUM(AB97,F11),"$#,##0"))&amp;" "&amp;U12&amp;" PELL, ",TEXT(F11,"$#,##0")&amp;" "&amp;U12&amp;" PELL, "))</f>
        <v/>
      </c>
      <c r="W34" s="198"/>
      <c r="X34" s="214" t="e">
        <f>IF(V19=0,"",TEXT(V19,"$#,##0")&amp;" "&amp;U12&amp;" TERM2 PELL, ")</f>
        <v>#VALUE!</v>
      </c>
      <c r="Y34" s="198"/>
      <c r="Z34" s="151" t="str">
        <f>IF(ISBLANK(G11),"",TEXT(G11,"$#,##0"))</f>
        <v/>
      </c>
      <c r="AA34" s="198"/>
      <c r="AB34" s="198"/>
      <c r="AC34" s="198"/>
    </row>
    <row r="35" spans="2:29" x14ac:dyDescent="0.25">
      <c r="B35" s="278"/>
      <c r="C35" s="279"/>
      <c r="D35" s="279"/>
      <c r="E35" s="279"/>
      <c r="F35" s="279"/>
      <c r="G35" s="279"/>
      <c r="H35" s="279"/>
      <c r="I35" s="279"/>
      <c r="J35" s="88"/>
      <c r="K35" s="88"/>
      <c r="L35" s="88"/>
      <c r="M35" s="88"/>
      <c r="N35" s="88"/>
      <c r="O35" s="88"/>
      <c r="P35" s="88"/>
      <c r="Q35" s="251"/>
      <c r="T35" s="105" t="str">
        <f>IF(ISBLANK(F12),"",IF(AB98,TEXT(SUM(AB98,F12),"$#,##0")&amp;" "&amp;W12&amp;" GRANT, ",TEXT(F12,"$#,##0")&amp;" "&amp;W12&amp;" GRANT, "))</f>
        <v/>
      </c>
      <c r="U35" s="218"/>
      <c r="V35" s="105" t="str">
        <f>IF(ISBLANK(F12),"",IF(AB98,TEXT(SUM(AB98,F12),"$#,##0")&amp;" "&amp;U12&amp;" GRANT, ",TEXT(F12,"$#,##0")&amp;" "&amp;U12&amp;" GRANT, "))</f>
        <v/>
      </c>
      <c r="W35" s="198"/>
      <c r="X35" s="215" t="e">
        <f>IF(V20=0,"",TEXT(V20,"$#,##0")&amp;" "&amp;U12&amp;" TERM2 GRANT, ")</f>
        <v>#VALUE!</v>
      </c>
      <c r="Y35" s="198"/>
      <c r="Z35" s="151" t="str">
        <f t="shared" ref="Z35:Z37" si="4">IF(ISBLANK(G12),"",TEXT(G12,"$#,##0"))</f>
        <v/>
      </c>
      <c r="AA35" s="198"/>
      <c r="AB35" s="198"/>
      <c r="AC35" s="198"/>
    </row>
    <row r="36" spans="2:29" x14ac:dyDescent="0.25">
      <c r="B36" s="210"/>
      <c r="C36" s="210"/>
      <c r="D36" s="210"/>
      <c r="E36" s="210"/>
      <c r="F36" s="210"/>
      <c r="G36" s="210"/>
      <c r="H36" s="210"/>
      <c r="I36" s="210"/>
      <c r="T36" s="105" t="str">
        <f>IF(ISBLANK(F13),"",IF(AB99,IF(U85&gt;0,TEXT(SUM(E13-T88,F13),"$#,##0"),TEXT(SUM(AB99,F13),"$#,##0"))&amp;" "&amp;W12&amp;" FSEOG, ",TEXT(F13,"$#,##0")&amp;" "&amp;W12&amp;" FSEOG, "))</f>
        <v/>
      </c>
      <c r="U36" s="198"/>
      <c r="V36" s="105" t="str">
        <f>IF(ISBLANK(F13),"",IF(AB99,IF(U85&gt;0,TEXT(SUM(E13-T88,F13),"$#,##0"),TEXT(SUM(AB99,F13),"$#,##0"))&amp;" "&amp;U12&amp;" FSEOG, ",TEXT(F13,"$#,##0")&amp;" "&amp;U12&amp;" FSEOG, "))</f>
        <v/>
      </c>
      <c r="W36" s="198"/>
      <c r="X36" s="215" t="e">
        <f>IF(V21=0,"",TEXT(V21,"$#,##0")&amp;" "&amp;U12&amp;" TERM2 FSEOG, ")</f>
        <v>#VALUE!</v>
      </c>
      <c r="Y36" s="198"/>
      <c r="Z36" s="151" t="str">
        <f t="shared" si="4"/>
        <v/>
      </c>
      <c r="AA36" s="198"/>
      <c r="AB36" s="198"/>
      <c r="AC36" s="198"/>
    </row>
    <row r="37" spans="2:29" x14ac:dyDescent="0.25">
      <c r="B37" s="210"/>
      <c r="C37" s="210"/>
      <c r="D37" s="210"/>
      <c r="E37" s="210"/>
      <c r="F37" s="210"/>
      <c r="G37" s="210"/>
      <c r="H37" s="210"/>
      <c r="I37" s="210"/>
      <c r="T37" s="105" t="str">
        <f>IF(ISBLANK(F14),"",IF(AB100,IF(U85&gt;0,TEXT(SUM(E14-T89,F14),"$#,##0"),TEXT(SUM(AB100,F14),"$#,##0"))&amp;" "&amp;W12&amp;" TEACH, ",TEXT(F14,"$#,##0")&amp;" "&amp;W12&amp;" TEACH, "))</f>
        <v/>
      </c>
      <c r="U37" s="198"/>
      <c r="V37" s="105" t="str">
        <f>IF(ISBLANK(F14),"",IF(AB100,IF(U85&gt;0,TEXT(SUM(E14-T89,F14),"$#,##0"),TEXT(SUM(AB100,F14),"$#,##0"))&amp;" "&amp;U12&amp;" TERM2 TEACH, ",TEXT(F14,"$#,##0")&amp;" "&amp;U12&amp;" TERM2 TEACH, "))</f>
        <v/>
      </c>
      <c r="W37" s="198"/>
      <c r="X37" s="215" t="e">
        <f>IF(V23=0,"",TEXT(V23,"$#,##0")&amp;" "&amp;U12&amp;" TERM2 TEACH GRANT, ")</f>
        <v>#VALUE!</v>
      </c>
      <c r="Y37" s="198"/>
      <c r="Z37" s="151" t="str">
        <f t="shared" si="4"/>
        <v/>
      </c>
      <c r="AA37" s="198"/>
      <c r="AB37" s="198"/>
      <c r="AC37" s="198"/>
    </row>
    <row r="38" spans="2:29" x14ac:dyDescent="0.25">
      <c r="B38" s="210"/>
      <c r="C38" s="210"/>
      <c r="D38" s="210"/>
      <c r="E38" s="210"/>
      <c r="F38" s="210"/>
      <c r="G38" s="210"/>
      <c r="H38" s="210"/>
      <c r="I38" s="210"/>
      <c r="T38" s="105" t="str">
        <f>IF(ISBLANK(F16),IF(SUM(H16,I16)=0,IF(Z97,TEXT(E16,"$#,##0")&amp;IF(T2," UNSUB2,"," UNSUB,"),""),IF(W100,IF(AB104,IF(T90&gt;0,TEXT(SUM((H16-T90)*W14,H16-T90),"$#,##0")&amp;" 1ST DISBURSEMENT OF "&amp;IF(T2,"UNSUB2,","UNSUB,")&amp;TEXT(SUM(I16*W14,I16),"$#,##0")&amp;" 2ND DISBURSEMENT OF "&amp;IF(T2,"UNSUB2,","UNSUB"),TEXT(SUM(H16*W14,I16*W14,H16,I16),"$#,##0")&amp;IF(T2,"UNSUB2,","UNSUB,")),IF(AC97,TEXT(SUM((I16*W14),I16),"$#,##0")&amp;" 2ND DISBURSEMENT OF "&amp;IF(T2,"UNSUB2","UNSUB,"),"")),IF(Z97,IF(E16=T90,TEXT(SUM(E16*W14,E16),"$#,##0"),TEXT(SUM((E16-T90)*(W14),(E16-T90)),"$#,##0"))&amp;" 2ND DISBURSEMENT OF "&amp;IF(T2,"UNSUB2","UNSUB,"),""))),IF(Z97,TEXT(SUM((E16-T90)*W14,E16-T90,F16),"$#,##0")&amp;" UNSUB, ",TEXT(F16,"$#,##0")&amp;IF(T2," UNSUB2, "," UNSUB, ")))</f>
        <v/>
      </c>
      <c r="U38" s="198"/>
      <c r="V38" s="105" t="str">
        <f>IF(ISBLANK(F16),IF(AC113,IF(AC97,TEXT(I16,"$#,##0"),TEXT(SUM((E16-T90)*(W14),(E16-T90)),"$#,##0"))&amp;" 2ND DISBURSEMENT OF UNSUB,",""),IF(Z97,TEXT(SUM((E16-T90)*W14,E16-T90,F16),"$#,##0")&amp;" UNSUB, ",TEXT(F16,"$#,##0")&amp;IF(T2," UNSUB2, "," UNSUB, ")))</f>
        <v/>
      </c>
      <c r="W38" s="198"/>
      <c r="X38" s="215" t="e">
        <f>IF(V24=0,IF(T120="--Misc Notes--","",AA47),IF('Page 2'!$U$46=0,IF(W100,IF(AB104,"",IF(U85=0,X110&amp;Z110,IF(AC97,X110,Z110))),IF(T2,"",TEXT(V24,"$#,##0")&amp;" UNSUB2, ")),IF(W100,IF(AC97,X110,IF(W100,X110&amp;Z110,"NET "&amp;TEXT(V24,"$#,##0")&amp;IF(T2," UNSUB1, "," UNSUB2, "))),"NET "&amp;TEXT(V24,"$#,##0")&amp;IF(T2," UNSUB1, "," UNSUB2, "))))</f>
        <v>#VALUE!</v>
      </c>
      <c r="Y38" s="198"/>
      <c r="Z38" s="198"/>
      <c r="AA38" s="198"/>
      <c r="AB38" s="198"/>
      <c r="AC38" s="198"/>
    </row>
    <row r="39" spans="2:29" x14ac:dyDescent="0.25">
      <c r="B39" s="210"/>
      <c r="C39" s="210"/>
      <c r="D39" s="210"/>
      <c r="E39" s="210"/>
      <c r="F39" s="210"/>
      <c r="G39" s="210"/>
      <c r="H39" s="210"/>
      <c r="I39" s="210"/>
      <c r="T39" s="105" t="str">
        <f>IF(ISBLANK(F17),IF(SUM(H17,I17)=0,IF(Z98,TEXT(E17,"$#,##0")&amp;IF(T2," SUB2,"," SUB,"),""),IF(W100,IF(AB105,IF(T91&gt;0,TEXT(SUM((H17-T91)*W14,H17-T91),"$#,##0")&amp;" 1ST DISBURSEMENT OF "&amp;IF(T2,"SUB2,","SUB,")&amp;TEXT(SUM(I17*W14,I17),"$#,##0")&amp;" 2ND DISBURSEMENT OF "&amp;IF(T2,"SUB2,","SUB"),TEXT(SUM(H17*W14,I17*W14,H17,I17),"$#,##0")&amp;IF(T2,"SUB2,","SUB,")),IF(AC97,TEXT(SUM((I17*W14),I17),"$#,##0")&amp;" 2ND DISBURSEMENT OF "&amp;IF(T2,"SUB2","SUB,"),"")),IF(Z98,IF(E17=T91,TEXT(SUM(E17*W14,E17),"$#,##0"),TEXT(SUM((E17-T91)*(W14),(E17-T91)),"$#,##0"))&amp;" 2ND DISBURSEMENT OF "&amp;IF(T2,"SUB2","SUB,"),""))),IF(Z98,TEXT(SUM((E17-T91)*W14,E17-T91,F17),"$#,##0")&amp;" SUB, ",TEXT(F17,"$#,##0")&amp;IF(T2," SUB2, "," SUB, ")))</f>
        <v/>
      </c>
      <c r="U39" s="198"/>
      <c r="V39" s="105" t="str">
        <f>IF(ISBLANK(F17),IF(Z98,IF(AC114,TEXT(I17,"$#,##0"),TEXT(SUM((E17-T91)*(W14),(E17-T91)),"$#,##0"))&amp;" 2ND DISBURSEMENT OF SUB,",""),IF(Z98,TEXT(SUM((E17-T91)*W14,E17-T91,F17),"$#,##0")&amp;" SUB, ",TEXT(F17,"$#,##0")&amp;IF(T2," SUB2, "," SUB, ")))</f>
        <v/>
      </c>
      <c r="W39" s="198"/>
      <c r="X39" s="215" t="e">
        <f>IF(V25=0,IF(T120="--Misc Notes--","",AA48),IF('Page 2'!$U$47=0,IF(W100,IF(AB105,"",IF(U85=0,X111&amp;Z111,IF(AC97,X111,Z111))),IF(T2,"",TEXT(V25,"$#,##0")&amp;" SUB2, ")),IF(W100,IF(AC97,X111,IF(W100,X111&amp;Z111,"NET "&amp;TEXT(V25,"$#,##0")&amp;IF(T2," SUB1, "," SUB2, "))),"NET "&amp;TEXT(V25,"$#,##0")&amp;IF(T2," SUB1, "," SUB2, "))))</f>
        <v>#VALUE!</v>
      </c>
      <c r="Y39" s="198"/>
      <c r="Z39" s="198"/>
      <c r="AA39" s="198"/>
      <c r="AB39" s="198"/>
      <c r="AC39" s="198"/>
    </row>
    <row r="40" spans="2:29" x14ac:dyDescent="0.25">
      <c r="B40" s="210"/>
      <c r="C40" s="210"/>
      <c r="D40" s="210"/>
      <c r="E40" s="210"/>
      <c r="F40" s="210"/>
      <c r="G40" s="210"/>
      <c r="H40" s="210"/>
      <c r="I40" s="210"/>
      <c r="T40" s="105" t="str">
        <f>IF(ISBLANK(F18),IF(SUM(H18,I18)=0,IF(Z99,TEXT(E18,"$#,##0")&amp;IF(T2," PERKINS2,"," PERKINS,"),""),IF(W100,IF(AB106,IF(T92&gt;0,TEXT(SUM((H19-T92)*W14,H18-T92),"$#,##0")&amp;" 1ST DISBURSEMENT OF "&amp;IF(T2,"PERKINS2,","PERKINS,")&amp;TEXT(SUM(I18*W14,I18),"$#,##0")&amp;" 2ND DISBURSEMENT OF "&amp;IF(T2,"SUB2,","SUB"),TEXT(SUM(H18*W14,I18*W14,H18,I18),"$#,##0")&amp;IF(T2,"PERKINS2,","PERKINS,")),IF(AC97,TEXT(SUM((I18*W14),I18),"$#,##0")&amp;" 2ND DISBURSEMENT OF "&amp;IF(T2,"PERKINS2","PERKINS,"),"")),IF(Z99,IF(E18=T92,TEXT(SUM(E18*W14,E18),"$#,##0"),TEXT(SUM((E18-T92)*(W14),(E18-T92)),"$#,##0"))&amp;" 2ND DISBURSEMENT OF "&amp;IF(T2,"PERKINS2","PERKINS,"),""))),IF(Z99,TEXT(SUM((E18-T92)*W14,E18-T92,F18),"$#,##0")&amp;" PERKINS, ",TEXT(F18,"$#,##0")&amp;IF(T2," PERKINS2, "," PERKINS, ")))</f>
        <v/>
      </c>
      <c r="U40" s="198"/>
      <c r="V40" s="105" t="str">
        <f>IF(ISBLANK(F18),IF(Z99,IF(AC115,TEXT(I18,"$#,##0"),TEXT(SUM((E18-T92)*(W14),(E18-T92)),"$#,##0"))&amp;" 2ND DISBURSEMENT OF PERKINS,",""),IF(Z99,TEXT(SUM((E18-T92)*W14,E18-T92,F18),"$#,##0")&amp;" PERKINS, ",TEXT(F18,"$#,##0")&amp;IF(T2," PERKINS2, "," PERKINS, ")))</f>
        <v/>
      </c>
      <c r="W40" s="198"/>
      <c r="X40" s="215" t="e" cm="1">
        <f t="array" ref="X40">IF(V26=0,IF(T120="--Misc Notes--","",AA49),IF('Page 2'!$U$48=0,IF(W100IF(AB106,"",IF(U85=0,X112&amp;Z112,IF(AC97,X112,Z112))),IF(T2,"",TEXT(V26,"$#,##0")&amp;" PERKINS2, ")),IF(W100,IF(AC97,X112,IF(W100,X112&amp;Z112,"NET "&amp;TEXT(V26,"$#,##0")&amp;IF(T2," PERKINS1, "," PERKINS2, "))),"NET "&amp;TEXT(V26,"$#,##0")&amp;IF(T2," PERKINS1, "," PERKINS2, "))))</f>
        <v>#VALUE!</v>
      </c>
      <c r="Y40" s="198"/>
      <c r="Z40" s="198"/>
      <c r="AA40" s="198"/>
      <c r="AB40" s="198"/>
      <c r="AC40" s="198"/>
    </row>
    <row r="41" spans="2:29" x14ac:dyDescent="0.25">
      <c r="B41" s="210"/>
      <c r="C41" s="210"/>
      <c r="D41" s="210"/>
      <c r="E41" s="210"/>
      <c r="F41" s="210"/>
      <c r="G41" s="210"/>
      <c r="H41" s="210"/>
      <c r="I41" s="210"/>
      <c r="T41" s="105" t="str">
        <f>IF(ISBLANK(F19),IF(SUM(H19,I19)=0,IF(Z100,TEXT(E19,"$#,##0")&amp;IF(T2," GRAD PLUS2,"," GRAD PLUS,"),""),IF(W100,IF(AB107,IF(T93&gt;0,TEXT(SUM((H19-T93)*W14,H19-T93),"$#,##0")&amp;" 1ST DISBURSEMENT OF "&amp;IF(T2,"GRAD PLUS2,","GRAD PLUS,")&amp;TEXT(SUM(I19*W14,I19),"$#,##0")&amp;" 2ND DISBURSEMENT OF "&amp;IF(T2,"GRAD PLUS2,","GRAD PLUS"),TEXT(SUM(H19*W14,I19*W14,H19,I19),"$#,##0")&amp;IF(T2,"GRAD PLUS2,","GRAD PLUS,")),IF(AC97,TEXT(SUM(I19*W14,I19),"$#,##0")&amp;" 2ND DISBURSEMENT OF "&amp;IF(T2,"GRAD PLUS2","GRAD PLUS,"),"")),IF(Z100,IF(E19=T93,TEXT(SUM(E19*W14,E19),"$#,##0"),TEXT(SUM((E19-T93)*(W14),(E19-T93)),"$#,##0"))&amp;" 2ND DISBURSEMENT OF "&amp;IF(T2,"GRAD PLUS2","GRAD PLUS,"),""))),IF(Z100,TEXT(SUM((E19-T93)*W14,E19-T93,F19),"$#,##0")&amp;" GRAD PLUS, ",TEXT(F19,"$#,##0")&amp;IF(T2," GRAD PLUS2, "," GRAD PLUS, ")))</f>
        <v/>
      </c>
      <c r="U41" s="198"/>
      <c r="V41" s="105" t="str">
        <f>IF(ISBLANK(F19),IF(Z100,IF(AC116,TEXT(I19,"$#,##0"),TEXT(SUM((E19-T93)*(W14),(E19-T93)),"$#,##0"))&amp;" 2ND DISBURSEMENT OF SUB,",""),IF(Z100,TEXT(SUM((E19-T93)*W14,E19-T93,F19),"$#,##0")&amp;" GRAD PLUS, ",TEXT(F19,"$#,##0")&amp;IF(T2," GRAD PLUS2, "," GRAD PLUS, ")))</f>
        <v/>
      </c>
      <c r="W41" s="198"/>
      <c r="X41" s="215" t="e">
        <f>IF(V27=0,IF(T120="--Misc Notes--","",AA50),IF('Page 2'!$U$49=0,IF(W100,IF(AB107,"",IF(U85=0,X113&amp;Z113,IF(AC97,X113,Z113))),IF(T2,"",TEXT(V27,"$#,##0")&amp;" GRAD PLUS2, ")),IF(W100,IF(AC97,X113,IF(W100,X113&amp;Z113,"NET "&amp;TEXT(V27,"$#,##0")&amp;IF(T2," GRAD PLUS1, "," GRAD PLUS2, "))),"NET "&amp;TEXT(V27,"$#,##0")&amp;IF(T2," GRAD PLUS1, "," GRAD PLUS2, "))))</f>
        <v>#VALUE!</v>
      </c>
      <c r="Y41" s="198"/>
      <c r="Z41" s="198"/>
      <c r="AA41" s="198"/>
      <c r="AB41" s="198"/>
      <c r="AC41" s="198"/>
    </row>
    <row r="42" spans="2:29" x14ac:dyDescent="0.25">
      <c r="B42" s="210"/>
      <c r="C42" s="210"/>
      <c r="D42" s="210"/>
      <c r="E42" s="210"/>
      <c r="F42" s="210"/>
      <c r="G42" s="210"/>
      <c r="H42" s="210"/>
      <c r="I42" s="210"/>
      <c r="T42" s="105" t="str">
        <f>IF(ISBLANK(F20),IF(SUM(H20,I20)=0,IF(Z101,TEXT(E20,"$#,##0")&amp;IF(T2," PARENT PLUS2,"," PARENT PLUS,"),""),IF(W100,IF(AB108,IF(T94&gt;0,TEXT(SUM((H20-T94)*W14,H20-T94),"$#,##0")&amp;" 1ST DISBURSEMENT OF "&amp;IF(T2,"PARENT PLUS2,","PARENT PLUS,")&amp;TEXT(SUM(I20*W14,I20),"$#,##0")&amp;" 2ND DISBURSEMENT OF "&amp;IF(T2,"PARENT PLUS2,","PARENT PLUS,"),TEXT(SUM(H20*W14,I20*W14,H20,I20),"$#,##0")&amp;IF(T2,"PARENT PLUS2,","PARENT PLUS,")),IF(AC97,TEXT(SUM(I20*W14,I20),"$#,##0")&amp;" 2ND DISBURSEMENT OF "&amp;IF(T2,"PARENT PLUS2","PARENT PLUS,"),"")),IF(Z101,IF(E20=T94,TEXT(SUM(E20*W14,E20),"$#,##0"),TEXT(SUM((E20-T94)*(W14),(E20-T94)),"$#,##0"))&amp;" 2ND DISBURSEMENT OF "&amp;IF(T2,"PARENT PLUS2","PARENT PLUS,"),""))),IF(Z101,TEXT(SUM((E20-T94)*W14,E20-T94,F20),"$#,##0")&amp;" PARENT PLUS, ",TEXT(F20,"$#,##0")&amp;IF(T2," PARENT PLUS2, "," PARENT PLUS, ")))</f>
        <v/>
      </c>
      <c r="U42" s="198"/>
      <c r="V42" s="216" t="str">
        <f>IF(ISBLANK(F20),IF(Z101,IF(AC117,TEXT(I20,"$#,##0"),TEXT(SUM((E20-T94)*(W14),(E20-T94)),"$#,##0"))&amp;" 2ND DISBURSEMENT OF PARENT PLUS,",""),IF(Z101,TEXT(SUM((E20-T94)*W14,E20-T94,F20),"$#,##0")&amp;" PARENT PLUS, ",TEXT(F20,"$#,##0")&amp;IF(T2," PARENT PLUS2, "," PARENT PLUS, ")))</f>
        <v/>
      </c>
      <c r="W42" s="198"/>
      <c r="X42" s="215" t="e">
        <f>IF(V28=0,IF(T120="--Misc Notes--","",AA51),IF('Page 2'!$U$50=0,IF(W100,IF(AB108,"",IF(U85=0,X114&amp;Z114,X114)),IF(T2,"",TEXT(V28,"$#,##0")&amp;" PARENT PLUS2, ")),IF(W100,IF(AC97,X114,IF(W100,X114&amp;Z114,"NET "&amp;TEXT(V28,"$#,##0")&amp;IF(T2," PARENT PLUS1, "," PARENT PLUS2, "))),"NET "&amp;TEXT(V28,"$#,##0")&amp;IF(T2," PARENT PLUS1, "," PARENT PLUS2, "))))</f>
        <v>#VALUE!</v>
      </c>
      <c r="Y42" s="198"/>
      <c r="Z42" s="198"/>
      <c r="AA42" s="198"/>
      <c r="AB42" s="198"/>
      <c r="AC42" s="198"/>
    </row>
    <row r="43" spans="2:29" x14ac:dyDescent="0.25">
      <c r="B43" s="210"/>
      <c r="C43" s="210"/>
      <c r="D43" s="210"/>
      <c r="E43" s="210"/>
      <c r="F43" s="210"/>
      <c r="G43" s="210"/>
      <c r="H43" s="210"/>
      <c r="I43" s="210"/>
      <c r="T43" s="212" t="s">
        <v>218</v>
      </c>
      <c r="U43" s="198"/>
      <c r="V43" s="198"/>
      <c r="W43" s="198"/>
      <c r="X43" s="198"/>
      <c r="Y43" s="198"/>
      <c r="Z43" s="198"/>
      <c r="AA43" s="198"/>
      <c r="AB43" s="198"/>
      <c r="AC43" s="198"/>
    </row>
    <row r="44" spans="2:29" x14ac:dyDescent="0.25">
      <c r="B44" s="210"/>
      <c r="C44" s="210"/>
      <c r="D44" s="210"/>
      <c r="E44" s="210"/>
      <c r="F44" s="210"/>
      <c r="G44" s="210"/>
      <c r="H44" s="210"/>
      <c r="I44" s="210"/>
      <c r="T44" s="198" t="e">
        <f>IF(T2,RIGHT(X47,LEN(X47)-1),RIGHT(X48,LEN(X48)-1))</f>
        <v>#VALUE!</v>
      </c>
      <c r="U44" s="198"/>
      <c r="V44" s="198"/>
      <c r="W44" s="198"/>
      <c r="X44" s="198"/>
      <c r="Y44" s="198"/>
      <c r="Z44" s="198"/>
      <c r="AA44" s="198"/>
      <c r="AB44" s="198"/>
      <c r="AC44" s="198"/>
    </row>
    <row r="45" spans="2:29" x14ac:dyDescent="0.25">
      <c r="B45" s="210"/>
      <c r="C45" s="210"/>
      <c r="D45" s="210"/>
      <c r="E45" s="210"/>
      <c r="F45" s="210"/>
      <c r="G45" s="210"/>
      <c r="H45" s="210"/>
      <c r="I45" s="210"/>
      <c r="T45" s="212" t="s">
        <v>259</v>
      </c>
      <c r="U45" s="198"/>
      <c r="V45" s="212" t="s">
        <v>260</v>
      </c>
      <c r="W45" s="198"/>
      <c r="X45" s="159"/>
      <c r="Y45" s="198"/>
      <c r="Z45" s="198" t="e">
        <f>V55&amp;V54&amp;V53&amp;V52&amp;V51&amp;V50&amp;V49&amp;V48&amp;V47</f>
        <v>#VALUE!</v>
      </c>
      <c r="AA45" s="212" t="s">
        <v>481</v>
      </c>
      <c r="AB45" s="212" t="s">
        <v>482</v>
      </c>
      <c r="AC45" s="198"/>
    </row>
    <row r="46" spans="2:29" x14ac:dyDescent="0.25">
      <c r="B46" s="210"/>
      <c r="C46" s="210"/>
      <c r="D46" s="210"/>
      <c r="E46" s="210"/>
      <c r="F46" s="210"/>
      <c r="G46" s="210"/>
      <c r="H46" s="210"/>
      <c r="I46" s="210"/>
      <c r="T46" s="111" t="s">
        <v>245</v>
      </c>
      <c r="U46" s="171"/>
      <c r="V46" s="111" t="s">
        <v>245</v>
      </c>
      <c r="W46" s="111"/>
      <c r="X46" s="212"/>
      <c r="Y46" s="198"/>
      <c r="Z46" s="198" t="e">
        <f>T55&amp;T54&amp;T53&amp;T52&amp;T51&amp;T50&amp;T49&amp;T48&amp;T47</f>
        <v>#VALUE!</v>
      </c>
      <c r="AA46" s="111" t="s">
        <v>480</v>
      </c>
      <c r="AB46" s="111" t="s">
        <v>480</v>
      </c>
      <c r="AC46" s="198"/>
    </row>
    <row r="47" spans="2:29" x14ac:dyDescent="0.25">
      <c r="B47" s="210"/>
      <c r="C47" s="210"/>
      <c r="D47" s="210"/>
      <c r="E47" s="210"/>
      <c r="F47" s="210"/>
      <c r="G47" s="210"/>
      <c r="H47" s="210"/>
      <c r="I47" s="210"/>
      <c r="T47" s="121" t="e">
        <f>IF(V73&lt;=50,IF(V19=0,"",TEXT(V19,"$#,##0")&amp;" "&amp;U12&amp;" PELL1 "),TEXT(SUM(ROUND(V19,0),V73),"$#,##0")&amp;" "&amp;U12&amp;" PELL1 ")</f>
        <v>#VALUE!</v>
      </c>
      <c r="U47" s="172"/>
      <c r="V47" s="121" t="e">
        <f>IF(V73&lt;=50,IF(V19=0,"",TEXT(V19,"$#,##0")&amp;" "&amp;U12&amp;" PELL2 "),TEXT(SUM(ROUND(V19,0),V73),"$#,##0")&amp;" "&amp;U14&amp;" PELL2 ")</f>
        <v>#VALUE!</v>
      </c>
      <c r="W47" s="173"/>
      <c r="X47" s="198" t="e">
        <f>_xlfn.TEXTJOIN(CHAR(10),TRUE,V55&amp;" "&amp;V54&amp;" "&amp;V53&amp;" "&amp;V52&amp;" "&amp;V51&amp;" "&amp;V50&amp;" "&amp;V49&amp;" "&amp;V48&amp;" "&amp;V47)</f>
        <v>#VALUE!</v>
      </c>
      <c r="Y47" s="212" t="s">
        <v>262</v>
      </c>
      <c r="Z47" s="198"/>
      <c r="AA47" s="214" t="str">
        <f>IF(ISBLANK(D16),"",IF(Z97,TEXT(D16,"$#,##0")&amp;" 1ST DISBURSEMENT OF UNSUB,",IF(T120="Deceased",IF(V24=0,"",TEXT(V24,"$#,##0")&amp;" UNSUB1,"),IF(T120="Withdrawal Change",IF(V24=0,"",V24),TEXT(D16,"$#,##0")&amp;" UNSUB1,"))))</f>
        <v/>
      </c>
      <c r="AB47" s="214" t="str">
        <f>IF(ISBLANK(D16),"",IF(Z97,TEXT(D16,"$#,##0")&amp;" 1ST DISBURSEMENT OF UNSUB,",IF(T120="Deceased",IF(V24=0,"",TEXT(V24,"$#,##0")&amp;" UNSUB2,"),IF(T120="Withdrawal Change",IF(V24=0,"",V24),TEXT(D16,"$#,##0")&amp;" UNSUB2,"))))</f>
        <v/>
      </c>
      <c r="AC47" s="198"/>
    </row>
    <row r="48" spans="2:29" x14ac:dyDescent="0.25">
      <c r="B48" s="210"/>
      <c r="C48" s="210"/>
      <c r="D48" s="210"/>
      <c r="E48" s="210"/>
      <c r="F48" s="210"/>
      <c r="G48" s="210"/>
      <c r="H48" s="210"/>
      <c r="I48" s="210"/>
      <c r="T48" s="105" t="e">
        <f>IF(V74&lt;=50,IF(V21=0,"",TEXT(V21,"$#,##0")&amp;" "&amp;U14&amp;" FSEOG1 "),TEXT(SUM(V21,V75),"$#,##0")&amp;" "&amp;U12&amp;" FSEOG1 ")</f>
        <v>#VALUE!</v>
      </c>
      <c r="U48" s="172"/>
      <c r="V48" s="105" t="e">
        <f>IF(V74&lt;=50,IF(V21=0,"",TEXT(V21,"$#,##0")&amp;" "&amp;U12&amp;" FSEOG2 "),TEXT(SUM(V21,V75),"$#,##0")&amp;" "&amp;U14&amp;" TestFSEOG2 ")</f>
        <v>#VALUE!</v>
      </c>
      <c r="W48" s="173"/>
      <c r="X48" s="198" t="e">
        <f>_xlfn.TEXTJOIN(CHAR(10),TRUE,T55&amp;" "&amp;T54&amp;" "&amp;T53&amp;" "&amp;T52&amp;" "&amp;T51&amp;" "&amp;T50&amp;" "&amp;T49&amp;" "&amp;T48&amp;" "&amp;T47)</f>
        <v>#VALUE!</v>
      </c>
      <c r="Y48" s="212" t="s">
        <v>261</v>
      </c>
      <c r="Z48" s="198"/>
      <c r="AA48" s="214" t="str">
        <f>IF(ISBLANK(D17),"",IF(Z97,TEXT(D17,"$#,##0")&amp;" 1ST DISBURSEMENT OF SUB,",IF(T120="Deceased",IF(V25=0,"",TEXT(V25,"$#,##0")&amp;" SUB1,"),IF(T120="Withdrawal Change",IF(V25=0,"",V25),TEXT(D17,"$#,##0")&amp;" SUB1,"))))</f>
        <v/>
      </c>
      <c r="AB48" s="214" t="str">
        <f>IF(ISBLANK(D17),"",IF(Z97,TEXT(D17,"$#,##0")&amp;" 1ST DISBURSEMENT OF SUB,",IF(T120="Deceased",IF(V25=0,"",TEXT(V25,"$#,##0")&amp;" SUB2,"),IF(T120="Withdrawal Change",IF(V25=0,"",V25),TEXT(D17,"$#,##0")&amp;" SUB2,"))))</f>
        <v/>
      </c>
      <c r="AC48" s="198"/>
    </row>
    <row r="49" spans="2:29" x14ac:dyDescent="0.25">
      <c r="B49" s="210"/>
      <c r="C49" s="210"/>
      <c r="D49" s="210"/>
      <c r="E49" s="210"/>
      <c r="F49" s="210"/>
      <c r="G49" s="210"/>
      <c r="H49" s="210"/>
      <c r="I49" s="210"/>
      <c r="T49" s="105" t="e">
        <f>IF(V75&lt;=50,IF(V23=0,"",TEXT(V23,"$#,##0")&amp;" "&amp;U14&amp;" TEACH1 "),TEXT(SUM(V23,V76),"$#,##0")&amp;" "&amp;U12&amp;" TEACH1 ")</f>
        <v>#VALUE!</v>
      </c>
      <c r="U49" s="172"/>
      <c r="V49" s="105" t="e">
        <f>IF(V75&lt;=50,IF(V23=0,"",TEXT(V23,"$#,##0")&amp;" "&amp;U12&amp;" TEACH2 "),TEXT(SUM(V23,V76),"$#,##0")&amp;" "&amp;U14&amp;" TEACH2 ")</f>
        <v>#VALUE!</v>
      </c>
      <c r="W49" s="173"/>
      <c r="X49" s="212"/>
      <c r="Y49" s="198"/>
      <c r="Z49" s="198"/>
      <c r="AA49" s="214" t="str">
        <f>IF(ISBLANK(D18),"",IF(Z97,TEXT(D18,"$#,##0")&amp;" 1ST DISBURSEMENT OF PERKINS,",TEXT(D18,"$#,##0")&amp;" PERKINS1,"))</f>
        <v/>
      </c>
      <c r="AB49" s="215" t="str">
        <f>IF(ISBLANK(D18),"",IF(Z97,TEXT(D16,"$#,##0")&amp;" 1ST DISBURSEMENT OF PERKINS,",TEXT(D18,"$#,##0")&amp;" PERKINS2,"))</f>
        <v/>
      </c>
      <c r="AC49" s="198"/>
    </row>
    <row r="50" spans="2:29" x14ac:dyDescent="0.25">
      <c r="B50" s="210"/>
      <c r="C50" s="210"/>
      <c r="D50" s="210"/>
      <c r="E50" s="210"/>
      <c r="F50" s="210"/>
      <c r="G50" s="210"/>
      <c r="H50" s="210"/>
      <c r="I50" s="210"/>
      <c r="T50" s="105" t="e">
        <f>IF(V24=0,IF(T120="--Misc Notes--","",AA55),IF('Page 2'!$U$46=0,IF(W100,IF(AB104,"",IF(U85=0,TEXT(V24,"$#,##0"),TEXT((H16-T90),"$#,##0"))&amp;" UNSUB1 (net)"),TEXT(V24,"$#,##0")&amp;" UNSUB1 (net)"),TEXT(V24,"$#,##0")&amp;" UNSUB1 (net)"))</f>
        <v>#VALUE!</v>
      </c>
      <c r="U50" s="198"/>
      <c r="V50" s="105" t="e">
        <f>IF(V24=0,IF(T120="--Misc Notes--","",AA56),IF('Page 2'!$U$46=0,IF(W100,IF(AB104,"",IF(U85=0,TEXT(V24,"$#,##0"),TEXT((H16-T90),"$#,##0"))&amp;" UNSUB2 (net)"),TEXT(V24,"$#,##0")&amp;" UNSUB2 (net)"),TEXT(V24,"$#,##0")&amp;" UNSUB2 (net)"))</f>
        <v>#VALUE!</v>
      </c>
      <c r="W50" s="198"/>
      <c r="X50" s="218" t="e">
        <f>SUM(V19:V28)</f>
        <v>#VALUE!</v>
      </c>
      <c r="Y50" s="212" t="s">
        <v>287</v>
      </c>
      <c r="Z50" s="198"/>
      <c r="AA50" s="214" t="str">
        <f>IF(ISBLANK(D19),"",IF(Z97,TEXT(D19,"$#,##0")&amp;" 1ST DISBURSEMENT OF GRAD PLUS,",IF(T120="Deceased",IF(V27=0,"",TEXT(V27,"$#,##0")&amp;" GRAD1,"),IF(T120="Withdrawal Change",IF(V27=0,"",V27),TEXT(D19,"$#,##0")&amp;" GRAD1,"))))</f>
        <v/>
      </c>
      <c r="AB50" s="215" t="str">
        <f>IF(ISBLANK(D19),"",IF(Z97,TEXT(D19,"$#,##0")&amp;" 1ST DISBURSEMENT OF GRAD PLUS,",IF(T120="Deceased",IF(T120="Deceased",IF(V27=0,"",TEXT(V27,"$#,##0")&amp;" GRAD2,"),IF(T120="Withdrawal Change",IF(V27=0,"",V27),TEXT(D19,"$#,##0")&amp;" GRAD2,")))))</f>
        <v/>
      </c>
      <c r="AC50" s="198"/>
    </row>
    <row r="51" spans="2:29" x14ac:dyDescent="0.25">
      <c r="B51" s="210"/>
      <c r="C51" s="210"/>
      <c r="D51" s="210"/>
      <c r="E51" s="210"/>
      <c r="F51" s="210"/>
      <c r="G51" s="210"/>
      <c r="H51" s="210"/>
      <c r="I51" s="210"/>
      <c r="T51" s="105" t="e">
        <f>IF(V25=0,IF(T120="--Misc Notes--","",AA56),IF('Page 2'!$U$46=0,IF(W100,IF(AB105,"",IF(U85=0,TEXT(V25,"$#,##0"),TEXT((H17-T91),"$#,##0"))&amp;" SUB1 (net)"),TEXT(V25,"$#,##0")&amp;" SUB1 (net)"),TEXT(V25,"$#,##0")&amp;" SUB1 (net)"))</f>
        <v>#VALUE!</v>
      </c>
      <c r="U51" s="198"/>
      <c r="V51" s="105" t="e">
        <f>IF(V25=0,IF(T120="--Misc Notes--","",AA57),IF('Page 2'!$U$46=0,IF(W100,IF(AB105,"",IF(U85=0,TEXT(V25,"$#,##0"),TEXT((H17-T91),"$#,##0"))&amp;" SUB2 (net)"),TEXT(V25,"$#,##0")&amp;" SUB2 (net)"),TEXT(V25,"$#,##0")&amp;" SUB2 (net)"))</f>
        <v>#VALUE!</v>
      </c>
      <c r="W51" s="198"/>
      <c r="X51" s="150" t="e">
        <f>IF(SUM(V19:V28,G24:G27,X19:X28,X34:X42)=0,0,IF(SUM(X19:X28,X34:X42)=0,0,SUM(V19:V28,G24:G27)))</f>
        <v>#VALUE!</v>
      </c>
      <c r="Y51" s="212" t="s">
        <v>288</v>
      </c>
      <c r="Z51" s="198"/>
      <c r="AA51" s="214" t="str">
        <f>IF(ISBLANK(D20),"",IF(Z97,TEXT(D20,"$#,##0")&amp;" 1ST DISBURSEMENT OF PARENT PLUS,",IF(T120="Deceased",IF(V28=0,"",TEXT(V28,"$#,##0")&amp;" PARENT1,"),IF(T120="Withdrawal Change",IF(V28=0,"",V28),TEXT(D20,"$#,##0")&amp;" PARENT1,"))))</f>
        <v/>
      </c>
      <c r="AB51" s="216" t="str">
        <f>IF(ISBLANK(D20),"",IF(Z97,TEXT(D20,"$#,##0")&amp;" 1ST DISBURSEMENT OF PARENT PLUS,",IF(T120="Deceased",IF(V28=0,"",TEXT(V28,"$#,##0")&amp;" PARENT2,"),IF(T120="Withdrawal Change",IF(V28=0,"",V28),TEXT(D20,"$#,##0")&amp;" PARENT2,"))))</f>
        <v/>
      </c>
      <c r="AC51" s="198"/>
    </row>
    <row r="52" spans="2:29" x14ac:dyDescent="0.25">
      <c r="B52" s="210"/>
      <c r="C52" s="210"/>
      <c r="D52" s="210"/>
      <c r="E52" s="210"/>
      <c r="F52" s="210"/>
      <c r="G52" s="210"/>
      <c r="H52" s="210"/>
      <c r="I52" s="210"/>
      <c r="L52" s="232"/>
      <c r="T52" s="105" t="e">
        <f>IF(V27=0,IF(T120="--Misc Notes--","",AA57),IF('Page 2'!$U$46=0,IF(W100,IF(AB106,"",IF(U85=0,TEXT(V27,"$#,##0"),TEXT((H18-T92),"$#,##0"))&amp;" GRAD1 (net)"),TEXT(V27,"$#,##0")&amp;" GRAD1 (net)"),TEXT(V27,"$#,##0")&amp;" GRAD1 (net)"))</f>
        <v>#VALUE!</v>
      </c>
      <c r="U52" s="198"/>
      <c r="V52" s="105" t="e">
        <f>IF(V27=0,IF(T120="--Misc Notes--","",AA58),IF('Page 2'!$U$46=0,IF(W100,IF(AB106,"",IF(U85=0,TEXT(V27,"$#,##0"),TEXT((H18-T92),"$#,##0"))&amp;" GRAD2 (net)"),TEXT(V27,"$#,##0")&amp;" GRAD2 (net)"),TEXT(V27,"$#,##0")&amp;" GRAD2 (net)"))</f>
        <v>#VALUE!</v>
      </c>
      <c r="W52" s="198"/>
      <c r="X52" s="212" t="s">
        <v>625</v>
      </c>
      <c r="Y52" s="212"/>
      <c r="Z52" s="212" t="s">
        <v>626</v>
      </c>
      <c r="AA52" s="198"/>
      <c r="AB52" s="198"/>
      <c r="AC52" s="198"/>
    </row>
    <row r="53" spans="2:29" x14ac:dyDescent="0.25">
      <c r="B53" s="210"/>
      <c r="C53" s="210"/>
      <c r="D53" s="210"/>
      <c r="E53" s="210"/>
      <c r="F53" s="210"/>
      <c r="G53" s="210"/>
      <c r="H53" s="210"/>
      <c r="I53" s="210"/>
      <c r="T53" s="105" t="e">
        <f>IF(V28=0,IF(T120="--Misc Notes--","",AA58),IF('Page 2'!$U$46=0,IF(W100,IF(AB107,"",IF(U85=0,TEXT(V28,"$#,##0"),TEXT((H19-T93),"$#,##0"))&amp;" PARENT1 (net)"),TEXT(V28,"$#,##0")&amp;" PARENT1 (net)"),TEXT(V28,"$#,##0")&amp;" PARENT1 (net)"))</f>
        <v>#VALUE!</v>
      </c>
      <c r="U53" s="198"/>
      <c r="V53" s="105" t="e">
        <f>IF(V28=0,IF(T120="--Misc Notes--","",AA59),IF('Page 2'!$U$46=0,IF(W100,IF(AB107,"",IF(U85=0,TEXT(V28,"$#,##0"),TEXT((H19-T93),"$#,##0"))&amp;" PARENT2 (net)"),TEXT(V28,"$#,##0")&amp;" PARENT2 (net)"),TEXT(V28,"$#,##0")&amp;" PARENT2 (net)"))</f>
        <v>#VALUE!</v>
      </c>
      <c r="W53" s="198"/>
      <c r="X53" s="111" t="s">
        <v>298</v>
      </c>
      <c r="Y53" s="198"/>
      <c r="Z53" s="111" t="s">
        <v>299</v>
      </c>
      <c r="AA53" s="212" t="s">
        <v>481</v>
      </c>
      <c r="AB53" s="212" t="s">
        <v>482</v>
      </c>
      <c r="AC53" s="198"/>
    </row>
    <row r="54" spans="2:29" x14ac:dyDescent="0.25">
      <c r="B54" s="210"/>
      <c r="C54" s="210"/>
      <c r="D54" s="210"/>
      <c r="E54" s="210"/>
      <c r="F54" s="210"/>
      <c r="G54" s="210"/>
      <c r="H54" s="210"/>
      <c r="I54" s="210"/>
      <c r="T54" s="215" t="str">
        <f>IF(ISBLANK(E24),"",IF(G24=0,"",TEXT(G24,"$#,##0")&amp;" "&amp;IFERROR(VLOOKUP(C24,$T$144:$U$199,2,FALSE),C24)&amp;IF(T2,"1","2")))</f>
        <v/>
      </c>
      <c r="U54" s="198"/>
      <c r="V54" s="215" t="str">
        <f>IF(ISBLANK(E24),"",IF(G24=0,"",TEXT(G24,"$#,##0")&amp;" "&amp;IFERROR(VLOOKUP(C24,$T$144:$U$199,2,FALSE),C24)&amp;IF(T2,"1","2")))</f>
        <v/>
      </c>
      <c r="W54" s="198"/>
      <c r="X54" s="160" t="str">
        <f>IF(ISBLANK(E24),"",IF(G24=0,"",TEXT(G24,"$#,##0")&amp;" "&amp;U12&amp;IF(T2," TERM1 "," TERM2 ")&amp;IFERROR(VLOOKUP(C24,$T$144:$U$199,2,FALSE),C24)))</f>
        <v/>
      </c>
      <c r="Y54" s="198"/>
      <c r="Z54" s="160" t="str">
        <f>IF(ISBLANK(E24),IF(ISBLANK(F24),"",TEXT(F24,"$#,##0")&amp;" "&amp;U12&amp;IF(T2," TERM1 "," TERM2 ")&amp;IFERROR(VLOOKUP(C24,$T$144:$U$199,2,FALSE),C24)&amp;", "),IF(F24=0,"",TEXT(F24,"$#,##0")&amp;" "&amp;U12&amp;IF(T2," TERM1 "," TERM2 ")&amp;IFERROR(VLOOKUP(C24,$T$144:$U$199,2,FALSE),C24)&amp;", "))</f>
        <v/>
      </c>
      <c r="AA54" s="111" t="s">
        <v>617</v>
      </c>
      <c r="AB54" s="111" t="s">
        <v>617</v>
      </c>
      <c r="AC54" s="198"/>
    </row>
    <row r="55" spans="2:29" x14ac:dyDescent="0.25">
      <c r="B55" s="210"/>
      <c r="C55" s="210"/>
      <c r="D55" s="210"/>
      <c r="E55" s="210"/>
      <c r="F55" s="210"/>
      <c r="G55" s="210"/>
      <c r="H55" s="210"/>
      <c r="I55" s="210"/>
      <c r="T55" s="105" t="str">
        <f>IF(ISBLANK(E25),"",IF(G25=0,"",TEXT(G25,"$#,##0")&amp;" "&amp;IFERROR(VLOOKUP(C25,$T$144:$U$199,2,FALSE),C25)&amp;IF(T2,"1","2")))</f>
        <v/>
      </c>
      <c r="U55" s="198"/>
      <c r="V55" s="215" t="str">
        <f>IF(ISBLANK(E25),"",IF(G25=0,"",TEXT(G25,"$#,##0")&amp;" "&amp;IFERROR(VLOOKUP(C25,$T$144:$U$199,2,FALSE),C25)&amp;IF(T2,"1","2")))</f>
        <v/>
      </c>
      <c r="W55" s="198"/>
      <c r="X55" s="160" t="str">
        <f>IF(ISBLANK(E25),"",IF(G25=0,"",TEXT(G25,"$#,##0")&amp;" "&amp;U12&amp;IF(T2," TERM1 "," TERM2 ")&amp;IFERROR(VLOOKUP(C25,$T$144:$U$199,2,FALSE),C25)))</f>
        <v/>
      </c>
      <c r="Y55" s="198"/>
      <c r="Z55" s="160" t="str">
        <f>IF(ISBLANK(E25),IF(ISBLANK(F25),"",TEXT(F25,"$#,##0")&amp;" "&amp;U12&amp;IF(T2," TERM1 "," TERM2 ")&amp;IFERROR(VLOOKUP(C25,$T$144:$U$199,2,FALSE),C25)&amp;", "),IF(F25=0,"",TEXT(F25,"$#,##0")&amp;" "&amp;U13&amp;IF(T3," TERM1 "," TERM2 ")&amp;IFERROR(VLOOKUP(C25,$T$144:$U$199,2,FALSE),C25)&amp;", "))</f>
        <v/>
      </c>
      <c r="AA55" s="214" t="str">
        <f>IF(ISBLANK(D16),"",IF(ISBLANK(D5),TEXT(D16,"$#,##0")&amp;" UNSUB1 (net)",IF(D16&gt;V24,IF(V24=0,"",TEXT(V24,"$#,##0")&amp;" UNSUB1 (net)"),TEXT(D16,"$#,##0")&amp;" UNSUB1 (net)")))</f>
        <v/>
      </c>
      <c r="AB55" s="214" t="str">
        <f>IF(ISBLANK(D16),"",IF(ISBLANK(D5),TEXT(D16,"$#,##0")&amp;" UNSUB2 (net)",IF(D16&gt;V24,IF(V24=0,"",TEXT(V24,"$#,##0")&amp;" UNSUB2 (net)"),TEXT(D16,"$#,##0")&amp;" UNSUB2 (net)")))</f>
        <v/>
      </c>
      <c r="AC55" s="198"/>
    </row>
    <row r="56" spans="2:29" x14ac:dyDescent="0.25">
      <c r="B56" s="210"/>
      <c r="C56" s="210"/>
      <c r="D56" s="210"/>
      <c r="E56" s="210"/>
      <c r="F56" s="210"/>
      <c r="G56" s="210"/>
      <c r="H56" s="210"/>
      <c r="I56" s="210"/>
      <c r="T56" s="105" t="str">
        <f>IF(ISBLANK(E26),"",IF(G26=0,"",TEXT(G26,"$#,##0")&amp;" "&amp;IFERROR(VLOOKUP(C26,$T$144:$U$199,2,FALSE),C26)&amp;IF(T2,"1","2")))</f>
        <v/>
      </c>
      <c r="U56" s="198"/>
      <c r="V56" s="216" t="str">
        <f>IF(ISBLANK(E26),"",IF(G26=0,"",TEXT(G26,"$#,##0")&amp;" "&amp;IFERROR(VLOOKUP(C26,$T$144:$U$199,2,FALSE),C26)&amp;IF(T2,"1","2")))</f>
        <v/>
      </c>
      <c r="W56" s="198"/>
      <c r="X56" s="160" t="str">
        <f>IF(ISBLANK(E26),"",IF(G26=0,"",TEXT(G26,"$#,##0")&amp;" "&amp;U12&amp;IF(T2," TERM1 "," TERM2 ")&amp;IFERROR(VLOOKUP(C26,$T$144:$U$199,2,FALSE),C26)))</f>
        <v/>
      </c>
      <c r="Y56" s="198"/>
      <c r="Z56" s="160" t="str">
        <f>IF(ISBLANK(E26),IF(ISBLANK(F26),"",TEXT(F26,"$#,##0")&amp;" "&amp;U12&amp;IF(T2," TERM1 "," TERM2 ")&amp;IFERROR(VLOOKUP(C26,$T$144:$U$199,2,FALSE),C26)&amp;", "),IF(F26=0,"",TEXT(F26,"$#,##0")&amp;" "&amp;U14&amp;IF(T4," TERM1 "," TERM2 ")&amp;IFERROR(VLOOKUP(C26,$T$144:$U$199,2,FALSE),C26)&amp;", "))</f>
        <v/>
      </c>
      <c r="AA56" s="214" t="str">
        <f>IF(ISBLANK(D17),"",IF(ISBLANK(D5),TEXT(D17,"$#,##0")&amp;" SUB1 (net)",IF(D17&gt;V25,IF(V25=0,"",TEXT(V25,"$#,##0")&amp;" SUB1 (net)"),TEXT(D17,"$#,##0")&amp;" SUB1 (net)")))</f>
        <v/>
      </c>
      <c r="AB56" s="214" t="str">
        <f>IF(ISBLANK(D17),"",IF(ISBLANK(D5),TEXT(D17,"$#,##0")&amp;" SUB2 (net)",IF(D17&gt;V25,IF(V25=0,"",TEXT(V25,"$#,##0")&amp;" SUB2 (net)"),TEXT(D17,"$#,##0")&amp;" SUB2 (net)")))</f>
        <v/>
      </c>
      <c r="AC56" s="198"/>
    </row>
    <row r="57" spans="2:29" x14ac:dyDescent="0.25">
      <c r="B57" s="210"/>
      <c r="C57" s="210"/>
      <c r="D57" s="210"/>
      <c r="E57" s="210"/>
      <c r="F57" s="210"/>
      <c r="G57" s="210"/>
      <c r="H57" s="210"/>
      <c r="I57" s="210"/>
      <c r="T57" s="198" t="str">
        <f>IF(T2,RIGHT(X61,LEN(X61)-1),RIGHT(X60,LEN(X60)-1))</f>
        <v xml:space="preserve">        </v>
      </c>
      <c r="U57" s="198"/>
      <c r="V57" s="198"/>
      <c r="W57" s="198"/>
      <c r="X57" s="216" t="str">
        <f>IF(ISBLANK(E27),"",IF(G27=0,"",TEXT(G27,"$#,##0")&amp;" "&amp;U12&amp;IF(T2," TERM1 "," TERM2 ")&amp;IFERROR(VLOOKUP(C27,$T$144:$U$199,2,FALSE),C27)))</f>
        <v/>
      </c>
      <c r="Y57" s="198"/>
      <c r="Z57" s="161" t="str">
        <f>IF(ISBLANK(E27),IF(ISBLANK(F27),"",TEXT(F27,"$#,##0")&amp;" "&amp;U12&amp;IF(T2," TERM1 "," TERM2 ")&amp;IFERROR(VLOOKUP(C27,$T$144:$U$199,2,FALSE),C27)&amp;", "),IF(F27=0,"",TEXT(F27,"$#,##0")&amp;" "&amp;U15&amp;IF(T5," TERM1 "," TERM2 ")&amp;IFERROR(VLOOKUP(C27,$T$144:$U$199,2,FALSE),C27)&amp;", "))</f>
        <v/>
      </c>
      <c r="AA57" s="214" t="str">
        <f>IF(ISBLANK(D18),"",IF(ISBLANK(D5),TEXT(D18,"$#,##0")&amp;" PERKINS1 (net)",IF(D18&gt;V26,TEXT(V26,"$#,##0")&amp;" PERKINS1 (net)",TEXT(D18,"$#,##0")&amp;" PERKINS1")))</f>
        <v/>
      </c>
      <c r="AB57" s="215" t="str">
        <f>IF(ISBLANK(D18),"",IF(ISBLANK(D5),TEXT(D18,"$#,##0")&amp;" PERKINS2 (net)",IF(D18&gt;V26,TEXT(V26,"$#,##0")&amp;" PERKINS2 (net)",TEXT(D18,"$#,##0")&amp;" PERKINS2")))</f>
        <v/>
      </c>
      <c r="AC57" s="198"/>
    </row>
    <row r="58" spans="2:29" x14ac:dyDescent="0.25">
      <c r="B58" s="210"/>
      <c r="C58" s="210"/>
      <c r="D58" s="210"/>
      <c r="E58" s="210"/>
      <c r="F58" s="210"/>
      <c r="G58" s="210"/>
      <c r="H58" s="210"/>
      <c r="I58" s="210"/>
      <c r="T58" s="306" t="s">
        <v>244</v>
      </c>
      <c r="U58" s="217" t="s">
        <v>250</v>
      </c>
      <c r="V58" s="306" t="s">
        <v>244</v>
      </c>
      <c r="W58" s="217" t="s">
        <v>253</v>
      </c>
      <c r="X58" s="198"/>
      <c r="Y58" s="198"/>
      <c r="Z58" s="107"/>
      <c r="AA58" s="340" t="str">
        <f>IF(ISBLANK(D19),"",IF(ISBLANK(D5),TEXT(D19,"$#,##0")&amp;" GRAD PLUS1 (net)",IF(D19&gt;V27,IF(V27=0,"",TEXT(V27,"$#,##0")&amp;" GRAD PLUS1 (net)"),TEXT(D19,"$#,##0")&amp;" GRAD PLUS1 (net)")))</f>
        <v/>
      </c>
      <c r="AB58" s="215" t="str">
        <f>IF(ISBLANK(D19),"",IF(ISBLANK(D5),TEXT(D19,"$#,##0")&amp;" GRAD PLUS2 (net)",IF(D19&gt;V27,IF(V27=0,"",TEXT(V27,"$#,##0")&amp;" GRAD PLUS2 (net)"),TEXT(D19,"$#,##0")&amp;" GRAD PLUS2 (net)")))</f>
        <v/>
      </c>
      <c r="AC58" s="198"/>
    </row>
    <row r="59" spans="2:29" x14ac:dyDescent="0.25">
      <c r="B59" s="210"/>
      <c r="C59" s="210"/>
      <c r="D59" s="210"/>
      <c r="E59" s="210"/>
      <c r="F59" s="210"/>
      <c r="G59" s="210"/>
      <c r="H59" s="210"/>
      <c r="I59" s="210"/>
      <c r="T59" s="308" t="str">
        <f>IF(T120 = "DL3 T2 ADDLOAN NOT SATISFIED (FTCHBD)",IF(ISBLANK(F5),"",TEXT(F5,"$#,##0")&amp;" DLST3 (gross)"),"")</f>
        <v/>
      </c>
      <c r="U59" s="198"/>
      <c r="V59" s="308" t="str">
        <f>IF(T120 = "DL3 T2 ADDLOAN NOT SATISFIED (FTCHBD)",IF(ISBLANK(F5),"",TEXT(F5,"$#,##0")&amp;" DLST3 (gross)"),"")</f>
        <v/>
      </c>
      <c r="W59" s="198"/>
      <c r="X59" s="198"/>
      <c r="Y59" s="198"/>
      <c r="Z59" s="107"/>
      <c r="AA59" s="340" t="str">
        <f>IF(ISBLANK(D20),"",IF(ISBLANK(D5),TEXT(D20,"$#,##0")&amp;" PARENT PLUS1 (net)",IF(D20&gt;V28,IF(V28=0,"",TEXT(V28,"$#,##0")&amp;" PARENT PLUS1 (net)"),TEXT(D20,"$#,##0")&amp;" PARENT PLUS1 (net)")))</f>
        <v/>
      </c>
      <c r="AB59" s="216" t="str">
        <f>IF(ISBLANK(D20),"",IF(ISBLANK(D5),TEXT(D20,"$#,##0")&amp;" PARENT PLUS2 (net)",IF(D20&gt;V28,IF(V28=0,"",TEXT(V28,"$#,##0")&amp;" PARENT PLUS2 (net)"),TEXT(D20,"$#,##0")&amp;" PARENT PLUS2 (net)")))</f>
        <v/>
      </c>
      <c r="AC59" s="198"/>
    </row>
    <row r="60" spans="2:29" x14ac:dyDescent="0.25">
      <c r="B60" s="210"/>
      <c r="C60" s="210"/>
      <c r="D60" s="210"/>
      <c r="E60" s="210"/>
      <c r="F60" s="210"/>
      <c r="G60" s="210"/>
      <c r="H60" s="210"/>
      <c r="I60" s="210"/>
      <c r="T60" s="307" t="str">
        <f>IF(ISBLANK(F11),"",IF(AB97,IF(U85&gt;0,TEXT(SUM(E11-T86,F11),"$#,##0")&amp;" "&amp;U12&amp;IF(T2," PELL1"," PELL2"),TEXT(SUM(AB97,F11),"$#,##0")&amp;" "&amp;U12&amp;" PELL2 "),TEXT(F11,"$#,##0")&amp;" "&amp;U12&amp;" PELL2 "))</f>
        <v/>
      </c>
      <c r="U60" s="149"/>
      <c r="V60" s="307" t="str">
        <f>IF(ISBLANK(F11),"",IF(AB97,IF(U85&gt;0,TEXT(SUM(E11-T86,F11),"$#,##0")&amp;" "&amp;U12&amp;IF(T2," PELL2"," PELL"),TEXT(SUM(AB97,F11),"$#,##0")&amp;" "&amp;W12&amp;" PELL "),TEXT(F11,"$#,##0")&amp;" "&amp;W12&amp;" PELL "))</f>
        <v/>
      </c>
      <c r="W60" s="198"/>
      <c r="X60" s="198" t="str">
        <f>_xlfn.TEXTJOIN(CHAR(10),TRUE,V60&amp;" "&amp;V61&amp;" "&amp;V62&amp;" "&amp;V63&amp;" "&amp;V68&amp;" "&amp;V67&amp;" "&amp;V66&amp;" "&amp;V65&amp;" "&amp;V64&amp;" "&amp;Z25)</f>
        <v xml:space="preserve">         </v>
      </c>
      <c r="Y60" s="198"/>
      <c r="Z60" s="107"/>
      <c r="AA60" s="340" t="str">
        <f>IF(ISBLANK(D11),"",IF(ISBLANK(D5),TEXT(D11,"$#,##0")&amp;" Pell1 (net)",IF(D11&gt;V19,IF(V19=0,"",TEXT(V19,"$#,##0")&amp;" Pell1 (net)"),TEXT(D11,"$#,##0")&amp;" Pell1 (net)")))</f>
        <v/>
      </c>
      <c r="AB60" s="216" t="str">
        <f>IF(ISBLANK(D11),"",IF(ISBLANK(D5),TEXT(D11,"$#,##0")&amp;" Pell2 (net)",IF(D11&gt;V19,IF(V19=0,"",TEXT(V19,"$#,##0")&amp;" Pell2 (net)"),TEXT(D11,"$#,##0")&amp;" Pell2 (net)")))</f>
        <v/>
      </c>
      <c r="AC60" s="198"/>
    </row>
    <row r="61" spans="2:29" x14ac:dyDescent="0.25">
      <c r="B61" s="210"/>
      <c r="C61" s="210"/>
      <c r="D61" s="210"/>
      <c r="E61" s="210"/>
      <c r="F61" s="210"/>
      <c r="G61" s="210"/>
      <c r="H61" s="210"/>
      <c r="I61" s="210"/>
      <c r="T61" s="105" t="str">
        <f>IF(ISBLANK(F13),"",IF(AB99,IF(U85&gt;0,TEXT(SUM(E13-T88,F13),"$#,##0")&amp;" "&amp;U12&amp;IF(T2," FSEOG1"," FSEOG2"),TEXT(SUM(AB99,F13),"$#,##0")&amp;" "&amp;U12&amp;" FSEOG2 "),TEXT(F13,"$#,##0")&amp;" "&amp;U12&amp;" FSEOG2 "))</f>
        <v/>
      </c>
      <c r="U61" s="198"/>
      <c r="V61" s="105" t="str">
        <f>IF(ISBLANK(F13),"",IF(AB99,IF(U85&gt;0,TEXT(SUM(E13-T88,F13),"$#,##0")&amp;" "&amp;U12&amp;IF(T2," FSEOG2"," FSEOG"),TEXT(SUM(AB99,F13),"$#,##0")&amp;" "&amp;W12&amp;" FSEOG "),TEXT(F13,"$#,##0")&amp;" "&amp;W12&amp;" FSEOG "))</f>
        <v/>
      </c>
      <c r="W61" s="198"/>
      <c r="X61" s="198" t="str">
        <f>_xlfn.TEXTJOIN(CHAR(10),TRUE,T60&amp;" "&amp;T61&amp;" "&amp;T62&amp;" "&amp;T63&amp;" "&amp;T68&amp;" "&amp;T67&amp;" "&amp;T66&amp;" "&amp;T65&amp;" "&amp;T64&amp;" "&amp;Z25)</f>
        <v xml:space="preserve">         </v>
      </c>
      <c r="Y61" s="198"/>
      <c r="Z61" s="107"/>
      <c r="AA61" s="340" t="str">
        <f>IF(ISBLANK(D13),"",IF(ISBLANK(D5),TEXT(D13,"$#,##0")&amp;" FSEOG1 (net)",IF(D13&gt;V21,IF(V21,"",TEXT(V21,"$#,##0")&amp;" FSEOG1 (net)"),TEXT(D13,"$#,##0")&amp;" FSEOG1 (net)")))</f>
        <v/>
      </c>
      <c r="AB61" s="216" t="str">
        <f>IF(ISBLANK(D13),"",IF(ISBLANK(D5),TEXT(D13,"$#,##0")&amp;" FSEOG2 (net)",IF(D13&gt;V21,IF(V21=0,"",TEXT(V21,"$#,##0")&amp;" FSEOG2 (net)"),TEXT(D13,"$#,##0")&amp;" FSEOG2 (net)")))</f>
        <v/>
      </c>
      <c r="AC61" s="198"/>
    </row>
    <row r="62" spans="2:29" x14ac:dyDescent="0.25">
      <c r="T62" s="105" t="str">
        <f>IF(ISBLANK(F14),"",IF(AB100,IF(U85&gt;0,TEXT(SUM(E14-T89,F14),"$#,##0")&amp;" "&amp;U12&amp;IF(T2," TEACH1"," TEACH2"),TEXT(SUM(AB100,F14),"$#,##0")&amp;" "&amp;U12&amp;" TEACH2 "),TEXT(F14,"$#,##0")&amp;" "&amp;U12&amp;" TEACH2 "))</f>
        <v/>
      </c>
      <c r="U62" s="198"/>
      <c r="V62" s="105" t="str">
        <f>IF(ISBLANK(F14),"",IF(AB100,IF(U85&gt;0,TEXT(SUM(E14-T89,F14),"$#,##0")&amp;" "&amp;U12&amp;IF(T2," TEACH2"," TEACH"),TEXT(SUM(AB100,F14),"$#,##0")&amp;" "&amp;W12&amp;" TEACH "),TEXT(F14,"$#,##0")&amp;" "&amp;W12&amp;" TEACH "))</f>
        <v/>
      </c>
      <c r="W62" s="198"/>
      <c r="X62" s="111" t="s">
        <v>614</v>
      </c>
      <c r="Y62" s="198"/>
      <c r="Z62" s="107"/>
      <c r="AA62" s="340" t="str">
        <f>IF(ISBLANK(D14),"",IF(ISBLANK(D5),TEXT(D14,"$#,##0")&amp;" Teach1 (net)",IF(D14&gt;V23,IF(V23=0,"",TEXT(V23,"$#,##0")&amp;" Teach1 (net)"),TEXT(D14,"$#,##0")&amp;" Teach1 (net)")))</f>
        <v/>
      </c>
      <c r="AB62" s="216" t="str">
        <f>IF(ISBLANK(D14),"",IF(ISBLANK(D5),TEXT(D14,"$#,##0")&amp;" Teach2 (net)",IF(D14&gt;V23,IF(V23=0,"",TEXT(V23,"$#,##0")&amp;" Teach2 (net)"),TEXT(D14,"$#,##0")&amp;" Teach2 (net)")))</f>
        <v/>
      </c>
      <c r="AC62" s="198"/>
    </row>
    <row r="63" spans="2:29" x14ac:dyDescent="0.25">
      <c r="T63" s="105" t="str">
        <f>IF(ISBLANK(F16),IF(SUM(H16,I16)=0,IF(Z97,TEXT(SUM(E16*W14,E16),"$#,##0")&amp;IF(T2," UNSUB1 (gross),"," UNSUB2 (gross),"),""),IF(W100,IF(AB104,IF(T90&gt;0,TEXT(SUM((E16-T90)*W14,E16-T90),"$#,##0"),TEXT(SUM(H16*W14,I16*W14,H16,I16),"$#,##0"))&amp;IF(T2," UNSUB1 (gross)"," UNSUB2 (gross)"),TEXT(SUM((I16*W14),I16),"$#,##0")&amp;IF(T2," UNSUB1 (gross)"," UNSUB2 (gross)")),IF(Z97,IF(E16=T90,TEXT(SUM(E16*W14,E16),"$#,##0"),TEXT(SUM((E16-T90)*(W14),(E16-T90)),"$#,##0"))&amp;IF(T2," UNSUB1 (gross)"," UNSUB2 (gross)"),""))),IF(Z97,TEXT(SUM((E16-T90)*W14,E16-T90,F16),"$#,##0")&amp;" UNSUB (gross) ",TEXT(F16,"$#,##0")&amp;IF(T2," UNSUB2 (gross) "," UNSUB (gross) ")))</f>
        <v/>
      </c>
      <c r="U63" s="198"/>
      <c r="V63" s="105" t="str">
        <f>IF(ISBLANK(F16),IF(SUM(H16,I16)=0,IF(Z97,TEXT(SUM(E16*W14,E16),"$#,##0")&amp;IF(T2," UNSUB2 (gross),"," UNSUB (gross),"),""),IF(W100,IF(AB104,IF(T90&gt;0,TEXT(SUM((E16-T90)*W14,E16-T90),"$#,##0"),TEXT(SUM(H16*W14,I16*W14,H16,I16),"$#,##0"))&amp;IF(T2," UNSUB2 (gross)"," UNSUB (gross)"),TEXT(SUM((I16*W14),I16),"$#,##0")&amp;IF(T2," UNSUB2 (gross)"," UNSUB (gross)")),IF(Z97,IF(E16=T90,TEXT(SUM(E16*W14,E16),"$#,##0"),TEXT(SUM((E16-T90)*(W14),(E16-T90)),"$#,##0"))&amp;IF(T2," UNSUB2 (gross)"," UNSUB (gross)"),""))),IF(Z97,TEXT(SUM((E16-T90)*W14,E16-T90,F16),"$#,##0")&amp;" UNSUB (gross) ",TEXT(F16,"$#,##0")&amp;IF(T2," UNSUB2 (gross) "," UNSUB (gross) ")))</f>
        <v/>
      </c>
      <c r="W63" s="198"/>
      <c r="X63" s="301" t="str">
        <f>IF(ISBLANK(E24),"",IF(G24=0,"",TEXT(G24,"$#,##0")&amp;" "&amp;U12&amp;IF(T2," TERM1 "," TERM2 ")&amp;IFERROR(VLOOKUP(C24,$T$144:$U$199,2,FALSE),C24)&amp;", "))</f>
        <v/>
      </c>
      <c r="Y63" s="198"/>
      <c r="Z63" s="111" t="s">
        <v>299</v>
      </c>
      <c r="AA63" s="198"/>
      <c r="AB63" s="198"/>
      <c r="AC63" s="198"/>
    </row>
    <row r="64" spans="2:29" x14ac:dyDescent="0.25">
      <c r="T64" s="105" t="str">
        <f>IF(ISBLANK(F17),IF(SUM(H17,I17)=0,IF(Z98,TEXT(SUM(E17*W14,E17),"$#,##0")&amp;IF(T2," SUB1 (gross),"," SUB2 (gross),"),""),IF(W100,IF(AB105,IF(T91&gt;0,TEXT(SUM((E17-T91)*W14,E17-T91),"$#,##0"),TEXT(SUM(H17*W14,I17*W14,H17,I17),"$#,##0"))&amp;IF(T2," SUB1 (gross)"," SUB2 (gross)"),TEXT(SUM(I17*W14,I17),"$#,##0")&amp;IF(T2," SUB1 (gross)"," SUB2 (gross)")),IF(Z98,IF(E17=T91,TEXT(SUM(E17*W14,E17),"$#,##0"),TEXT(SUM((E17-T91)*(W14),(E17-T91)),"$#,##0"))&amp;IF(T2," SUB1 (gross)"," SUB2 (gross)"),""))),IF(Z98,TEXT(SUM((E17-T91)*W14,E17-T91,F17),"$#,##0")&amp;" SUB (gross) ",TEXT(F17,"$#,##0")&amp;IF(T2," SUB2 (gross) "," SUB (gross) ")))</f>
        <v/>
      </c>
      <c r="U64" s="198"/>
      <c r="V64" s="105" t="str">
        <f>IF(ISBLANK(F17),IF(SUM(H17,I17)=0,IF(Z98,TEXT(SUM(E17*W14,E17),"$#,##0")&amp;IF(T2," SUB2 (gross),"," SUB (gross),"),""),IF(W100,IF(AB105,IF(T91&gt;0,TEXT(SUM((E17-T91)*W14,E17-T91),"$#,##0"),TEXT(SUM(H17*W14,I17*W14,H17,I17),"$#,##0"))&amp;IF(T2," SUB2 (gross)"," SUB (gross)"),TEXT(SUM(I17*W14,I17),"$#,##0")&amp;IF(T2," SUB2 (gross)"," SUB (gross)")),IF(Z98,IF(E17=T91,TEXT(SUM(E17*W14,E17),"$#,##0"),TEXT(SUM((E17-T91)*(W14),(E17-T91)),"$#,##0"))&amp;IF(T2," SUB2 (gross)"," SUB (gross)"),""))),IF(Z98,TEXT(SUM((E17-T91)*W14,E17-T91,F17),"$#,##0")&amp;" SUB (gross) ",TEXT(F17,"$#,##0")&amp;IF(T2," SUB2 (gross) "," SUB (gross) ")))</f>
        <v/>
      </c>
      <c r="W64" s="198"/>
      <c r="X64" s="302" t="str">
        <f>IF(ISBLANK(E25),"",IF(G25=0,"",TEXT(G25,"$#,##0")&amp;" "&amp;U12&amp;IF(T2," TERM1 "," TERM2 ")&amp;IFERROR(VLOOKUP(C25,$T$144:$U$199,2,FALSE),C25)&amp;", "))</f>
        <v/>
      </c>
      <c r="Y64" s="198"/>
      <c r="Z64" s="160" t="str">
        <f>IF(ISBLANK(E24),IF(ISBLANK(F24),"",TEXT(F24,"$#,##0")&amp;" "&amp;U12&amp;IF(T2," TERM1 "," TERM2 ")&amp;IFERROR(VLOOKUP(C24,$T$144:$U$199,2,FALSE),C24)&amp;", "),IF(F24=0,"",TEXT(F24,"$#,##0")&amp;" "&amp;IF(T2,U12&amp;" TERM2 ",W12&amp;" ")&amp;IFERROR(VLOOKUP(C24,$T$144:$U$199,2,FALSE),C24)&amp;", "))</f>
        <v/>
      </c>
      <c r="AA64" s="198"/>
      <c r="AB64" s="198"/>
      <c r="AC64" s="198"/>
    </row>
    <row r="65" spans="12:29" x14ac:dyDescent="0.25">
      <c r="T65" s="105" t="str">
        <f>IF(ISBLANK(F19),IF(SUM(H19,I19)=0,IF(Z100,TEXT(SUM(E19*W13,E19),"$#,##0")&amp;IF(T2," GRAD1 (gross),"," GRAD2 (gross),"),""),IF(W100,IF(AB107, IF(T93&gt;0,TEXT(SUM((E19-T93)*W14,E19-T93),"$#,##0"),TEXT(SUM(H19*W14,I19*W14,H19,I19),"$#,##0"))&amp;IF(T2," GRAD1 (gross)"," GRAD2 (gross)"),TEXT(SUM(I19*W14,I19),"$#,##0")&amp;IF(T2," GRAD1 (gross)"," GRAD2 (gross)")),IF(Z100,IF(E19=T93,TEXT(SUM(E19*W14,E19),"$#,##0"),TEXT(SUM((E19-T93)*(W14),(E19-T93)),"$#,##0"))&amp;IF(T2," GRAD1 (gross)"," GRAD2 (gross)"),""))),IF(Z100,TEXT(SUM((E18-T93)*W14,E18-T93,F19),"$#,##0")&amp;" GRAD (gross) ",TEXT(F19,"$#,##0")&amp;IF(T2," GRAD2 (gross) "," GRAD (gross) ")))</f>
        <v/>
      </c>
      <c r="U65" s="198"/>
      <c r="V65" s="105" t="str">
        <f>IF(ISBLANK(F19),IF(SUM(H19,I19)=0,IF(Z100,TEXT(SUM(E19*W13,E19),"$#,##0")&amp;IF(T2," GRAD2 (gross),"," GRAD (gross),"),""),IF(W100,IF(AB107,IF(T92&gt;0,TEXT(SUM((E19-T93)*W14,E19-T93),"$#,##0"),TEXT(SUM(H19*W14,I19*W14,H19,I19),"$#,##0"))&amp;IF(T2," GRAD2 (gross)"," GRAD (gross)"),TEXT(SUM(I19*W14,I19),"$#,##0")&amp;IF(T2," GRAD2 (gross)"," GRAD (gross)")),IF(Z100,IF(E19=T93,TEXT(SUM(E19*W14,E19),"$#,##0"),TEXT(SUM((E19-T93)*(W14),(E19-T93)),"$#,##0"))&amp;IF(T2," GRAD2 (gross)"," GRAD (gross)"),""))),IF(Z100,TEXT(SUM((E19-T93)*W14,E19-T93,F19),"$#,##0")&amp;" GRAD (gross) ",TEXT(F19,"$#,##0")&amp;IF(T2," GRAD2 (gross) "," GRAD (gross) ")))</f>
        <v/>
      </c>
      <c r="W65" s="198"/>
      <c r="X65" s="302" t="str">
        <f>IF(ISBLANK(E26),"",IF(G26=0,"",TEXT(G26,"$#,##0")&amp;" "&amp;U12&amp;IF(T2," TERM1 "," TERM2 ")&amp;IFERROR(VLOOKUP(C26,$T$144:$U$199,2,FALSE),C26)&amp;", "))</f>
        <v/>
      </c>
      <c r="Y65" s="198"/>
      <c r="Z65" s="160" t="str">
        <f>IF(ISBLANK(E25),IF(ISBLANK(F25),"",TEXT(F25,"$#,##0")&amp;" "&amp;U12&amp;IF(T2," TERM1 "," TERM2 ")&amp;IFERROR(VLOOKUP(C25,$T$144:$U$199,2,FALSE),C25)&amp;", "),IF(F25=0,"",TEXT(F25,"$#,##0")&amp;" "&amp;IF(T2,U12&amp;" TERM2 ",W12&amp;" ")&amp;IFERROR(VLOOKUP(C25,$T$144:$U$199,2,FALSE),C25)&amp;", "))</f>
        <v/>
      </c>
      <c r="AA65" s="198"/>
      <c r="AB65" s="198"/>
      <c r="AC65" s="198"/>
    </row>
    <row r="66" spans="12:29" x14ac:dyDescent="0.25">
      <c r="T66" s="105" t="str">
        <f>IF(ISBLANK(F20),IF(SUM(H20,I20)=0,IF(Z101,TEXT(SUM(E20*W13,E20),"$#,##0")&amp;IF(T2," PARENT1 (gross),"," PARENT2 (gross),"),""),IF(W100,IF(AB108,IF(T93&gt;0,TEXT(SUM((E19-T93)*W14,E20-T93),"$#,##0"),TEXT(SUM(H20*W14,I20*W14,H20,I20),"$#,##0"))&amp;IF(T2," PARENT1 (gross)"," PARENT2 (gross)"),TEXT(SUM(I20*W14,I20),"$#,##0")&amp;IF(T2," PARENT1 (gross)"," PARENT2 (gross)")),IF(Z101,IF(E20=T93,TEXT(SUM(E20*W14,E20),"$#,##0"),TEXT(SUM((E20-T94)*(W14),(E20-T94)),"$#,##0"))&amp;IF(T2," PARENT1 (gross)"," PARENT2 (gross)"),""))),IF(Z101,TEXT(SUM((E20-T94)*W14,E20-T94,F20),"$#,##0")&amp;" PARENT (gross) ",TEXT(F20,"$#,##0")&amp;IF(T2," PARENT2 (gross) "," PARENT (gross) ")))</f>
        <v/>
      </c>
      <c r="U66" s="198"/>
      <c r="V66" s="105" t="str">
        <f>IF(ISBLANK(F20),IF(SUM(H20,I20)=0,IF(Z101,TEXT(SUM(E20*W13,E20),"$#,##0")&amp;IF(T2," PARENT2 (gross),"," PARENT (gross),"),""),IF(W100,IF(AB108,IF(T94&gt;0,TEXT(SUM((E20-T94)*W14,E20-T94),"$#,##0"),TEXT(SUM(H20*W14,I20*W14,H20,I20),"$#,##0"))&amp;IF(T2," PARENT2 (gross)"," PARENT (gross)"),TEXT(SUM(I20*W14,I20),"$#,##0")&amp;IF(T2," PARENT2 (gross)"," PARENT (gross)")),IF(Z101,IF(E20=T94,TEXT(SUM(E20*W14,E20),"$#,##0"),TEXT(SUM((E20-T94)*(W14),(E20-T94)),"$#,##0"))&amp;IF(T2," PARENT2 (gross)"," PARENT (gross)"),""))),IF(Z101,TEXT(SUM((E20-T94)*W14,E20-T94,F20),"$#,##0")&amp;" PARENT (gross) ",TEXT(F20,"$#,##0")&amp;IF(T2," PARENT2 (gross) "," PARENT (gross) ")))</f>
        <v/>
      </c>
      <c r="W66" s="198"/>
      <c r="X66" s="303" t="str">
        <f>IF(ISBLANK(E27),"",IF(G27=0,"",TEXT(G27,"$#,##0")&amp;" "&amp;U12&amp;IF(T2," TERM1 "," TERM2 ")&amp;IFERROR(VLOOKUP(C27,$T$144:$U$199,2,FALSE),C27)&amp;", "))</f>
        <v/>
      </c>
      <c r="Y66" s="198"/>
      <c r="Z66" s="160" t="str">
        <f>IF(ISBLANK(E26),IF(ISBLANK(F26),"",TEXT(F26,"$#,##0")&amp;" "&amp;U12&amp;IF(T2," TERM1 "," TERM2 ")&amp;IFERROR(VLOOKUP(C26,$T$144:$U$199,2,FALSE),C26)&amp;", "),IF(F260,"",TEXT(F26,"$#,##0")&amp;" "&amp;IF(T2,U12&amp;" TERM2 ",W12&amp;" ")&amp;IFERROR(VLOOKUP(C26,$T$144:$U$199,2,FALSE),C26)&amp;", "))</f>
        <v/>
      </c>
      <c r="AA66" s="198"/>
      <c r="AB66" s="198"/>
      <c r="AC66" s="198"/>
    </row>
    <row r="67" spans="12:29" x14ac:dyDescent="0.25">
      <c r="T67" s="105" t="str">
        <f>IF(ISBLANK(F24),"",TEXT(F24,"$#,##0")&amp;" "&amp;IFERROR(VLOOKUP(C24,$T$144:$U$199,2,FALSE),C24)&amp;IF(T2,"2",""))</f>
        <v/>
      </c>
      <c r="U67" s="198"/>
      <c r="V67" s="105" t="str">
        <f>IF(ISBLANK(F24),"",TEXT(F24,"$#,##0")&amp;" "&amp;IFERROR(VLOOKUP(C24,$T$144:$U$199,2,FALSE),C24)&amp;IF(T2,"2",""))</f>
        <v/>
      </c>
      <c r="W67" s="198"/>
      <c r="X67" s="212" t="s">
        <v>300</v>
      </c>
      <c r="Y67" s="198"/>
      <c r="Z67" s="161" t="str">
        <f>IF(ISBLANK(E27),IF(ISBLANK(F27),"",TEXT(F27,"$#,##0")&amp;" "&amp;U12&amp;IF(T2," TERM1 "," TERM2 ")&amp;IFERROR(VLOOKUP(C27,$T$144:$U$199,2,FALSE),C27)&amp;", "),IF(F27=0,"",TEXT(F27,"$#,##0")&amp;" "&amp;IF(T2,U12&amp;" TERM2 ",W12&amp;" ")&amp;IFERROR(VLOOKUP(C27,$T$144:$U$199,2,FALSE),C27)&amp;", "))</f>
        <v/>
      </c>
      <c r="AA67" s="198"/>
      <c r="AB67" s="198"/>
      <c r="AC67" s="198"/>
    </row>
    <row r="68" spans="12:29" x14ac:dyDescent="0.25">
      <c r="T68" s="105" t="str">
        <f>IF(ISBLANK(F25),"",TEXT(F25,"$#,##0")&amp;" "&amp;IFERROR(VLOOKUP(C25,$T$144:$U$199,2,FALSE),C25)&amp;IF(T2,"2",""))</f>
        <v/>
      </c>
      <c r="U68" s="198"/>
      <c r="V68" s="105" t="str">
        <f>IF(ISBLANK(F25),"",TEXT(F25,"$#,##0")&amp;" "&amp;IFERROR(VLOOKUP(C25,$T$144:$U$199,2,FALSE),C25)&amp;IF(T2,"2","1"))</f>
        <v/>
      </c>
      <c r="W68" s="198"/>
      <c r="X68" s="198" t="str">
        <f>_xlfn.TEXTJOIN(CHAR(10),TRUE,X63&amp;X64&amp;X65&amp;X66)</f>
        <v/>
      </c>
      <c r="Y68" s="198"/>
      <c r="Z68" s="198" t="str">
        <f>_xlfn.TEXTJOIN(CHAR(10),TRUE,Z64&amp;Z65&amp;Z66)</f>
        <v/>
      </c>
      <c r="AA68" s="212" t="s">
        <v>301</v>
      </c>
      <c r="AB68" s="198"/>
      <c r="AC68" s="198"/>
    </row>
    <row r="69" spans="12:29" x14ac:dyDescent="0.25">
      <c r="T69" s="105" t="str">
        <f>IF(ISBLANK(F26),"",TEXT(F26,"$#,##0")&amp;" "&amp;IFERROR(VLOOKUP(C26,$T$144:$U$199,2,FALSE),C26)&amp;IF(T2,"2",""))</f>
        <v/>
      </c>
      <c r="U69" s="198"/>
      <c r="V69" s="105" t="str">
        <f>IF(ISBLANK(F26),"",TEXT(F26,"$#,##0")&amp;" "&amp;IFERROR(VLOOKUP(C26,$T$144:$U$199,2,FALSE),C26)&amp;IF(T2,"2",""))</f>
        <v/>
      </c>
      <c r="W69" s="198"/>
      <c r="X69" s="198"/>
      <c r="Y69" s="198"/>
      <c r="Z69" s="198"/>
      <c r="AA69" s="198"/>
      <c r="AB69" s="198"/>
      <c r="AC69" s="198"/>
    </row>
    <row r="70" spans="12:29" x14ac:dyDescent="0.25">
      <c r="T70" s="215" t="str">
        <f>IF(ISBLANK(G11),"",TEXT(Z34,"$#,##0")&amp;" "&amp;W12&amp;" EST PELL ")</f>
        <v/>
      </c>
      <c r="U70" s="198"/>
      <c r="V70" s="215" t="str">
        <f>IF(ISBLANK(G11),"",TEXT(Z34,"$#,##0")&amp;" "&amp;W12&amp;" EST PELL ")</f>
        <v/>
      </c>
      <c r="W70" s="198"/>
      <c r="X70" s="212" t="s">
        <v>329</v>
      </c>
      <c r="Y70" s="212"/>
      <c r="Z70" s="212" t="s">
        <v>328</v>
      </c>
      <c r="AA70" s="198"/>
      <c r="AB70" s="198"/>
      <c r="AC70" s="198"/>
    </row>
    <row r="71" spans="12:29" x14ac:dyDescent="0.25">
      <c r="T71" s="309" t="str">
        <f>IF(T120 = "DL3 T2 ADDLOAN NOT SATISFIED (FTCHBD)",IF(ISBLANK(F6),"",TEXT(F6,"$#,##0")&amp;" DLUST3 (gross)"),"")</f>
        <v/>
      </c>
      <c r="U71" s="212"/>
      <c r="V71" s="309" t="str">
        <f>IF(T120 = "DL3 T2 ADDLOAN NOT SATISFIED (FTCHBD)",IF(ISBLANK(F6),"",TEXT(F6,"$#,##0")&amp;" DLUST3 (gross)"),"")</f>
        <v/>
      </c>
      <c r="W71" s="212"/>
      <c r="X71" s="212" t="s">
        <v>286</v>
      </c>
      <c r="Y71" s="198"/>
      <c r="Z71" s="106"/>
      <c r="AA71" s="198"/>
      <c r="AB71" s="198"/>
      <c r="AC71" s="198"/>
    </row>
    <row r="72" spans="12:29" x14ac:dyDescent="0.25">
      <c r="L72" s="195"/>
      <c r="T72" s="198" t="e">
        <f>IF(PercentComplete&gt;0.6,0,SUM('Page 2'!BA56:BI59))</f>
        <v>#VALUE!</v>
      </c>
      <c r="U72" s="212" t="s">
        <v>264</v>
      </c>
      <c r="V72" s="162" t="s">
        <v>265</v>
      </c>
      <c r="W72" s="212" t="s">
        <v>267</v>
      </c>
      <c r="X72" s="111" t="s">
        <v>266</v>
      </c>
      <c r="Y72" s="198"/>
      <c r="Z72" s="111" t="s">
        <v>266</v>
      </c>
      <c r="AA72" s="198"/>
      <c r="AB72" s="198"/>
      <c r="AC72" s="198"/>
    </row>
    <row r="73" spans="12:29" x14ac:dyDescent="0.25">
      <c r="T73" s="198"/>
      <c r="U73" s="198"/>
      <c r="V73" s="164" t="e">
        <f>IF(PercentComplete&gt;60%,0,IF(T72&lt;=50,0,'Page 2'!BA56))</f>
        <v>#VALUE!</v>
      </c>
      <c r="W73" s="163"/>
      <c r="X73" s="215" t="e">
        <f>IF(V73&gt;0,IF(PercentComplete&gt;60%,"",IF(V73="N/A","",TEXT(V73,"$#,##0")&amp;" "&amp;U12&amp;" TERM1 PELL OVERPAYMENT (RETURNED ON STUDENTS BEHALF), ")),"")</f>
        <v>#VALUE!</v>
      </c>
      <c r="Y73" s="198"/>
      <c r="Z73" s="215" t="e">
        <f>IF(V73&gt;0,IF(PercentComplete&gt;60%,"",IF(V73="N/A","",TEXT(V73,"$#,##0")&amp;" "&amp;U12&amp;" TERM2 PELL OVERPAYMENT (RETURNED ON STUDENTS BEHALF), ")),"")</f>
        <v>#VALUE!</v>
      </c>
      <c r="AA73" s="198"/>
      <c r="AB73" s="198"/>
      <c r="AC73" s="198"/>
    </row>
    <row r="74" spans="12:29" x14ac:dyDescent="0.25">
      <c r="L74" s="195"/>
      <c r="T74" s="212"/>
      <c r="U74" s="198"/>
      <c r="V74" s="164" t="e">
        <f>IF(PercentComplete&gt;60%,0,IF(T72&lt;=50,0,'Page 2'!BA57))</f>
        <v>#VALUE!</v>
      </c>
      <c r="W74" s="163"/>
      <c r="X74" s="215" t="e">
        <f>IF(V74&gt;0,IF(PercentComplete&gt;60%,"",IF(V74="N/A","",TEXT(V74,"$#,##0")&amp;" "&amp;U12&amp;" TERM1 GRANT OVERPAYMENT (RETURNED ON STUDENTS BEHALF), ")),"")</f>
        <v>#VALUE!</v>
      </c>
      <c r="Y74" s="198"/>
      <c r="Z74" s="215" t="e">
        <f>IF(V74&gt;0,IF(PercentComplete&gt;60%,"",IF(V74="N/A","",TEXT(V74,"$#,##0")&amp;" "&amp;U12&amp;" TERM2 GRANT OVERPAYMENT (RETURNED ON STUDENTS BEHALF), ")),"")</f>
        <v>#VALUE!</v>
      </c>
      <c r="AA74" s="198"/>
      <c r="AB74" s="198"/>
      <c r="AC74" s="198"/>
    </row>
    <row r="75" spans="12:29" x14ac:dyDescent="0.25">
      <c r="T75" s="198"/>
      <c r="U75" s="198"/>
      <c r="V75" s="164" t="e">
        <f>IF(PercentComplete&gt;60%,0,IF(T72&lt;=50,0,'Page 2'!BA58))</f>
        <v>#VALUE!</v>
      </c>
      <c r="W75" s="163"/>
      <c r="X75" s="215" t="e">
        <f>IF(V75&gt;0,IF(PercentComplete&gt;60%,"",IF(V75="N/A","",TEXT(V75,"$#,##0")&amp;" "&amp;U12&amp;" TERM1 FSEOG OVERPAYMENT (RETURNED ON STUDENTS BEHALF), ")),"")</f>
        <v>#VALUE!</v>
      </c>
      <c r="Y75" s="198"/>
      <c r="Z75" s="215" t="e">
        <f>IF(V75&gt;0,IF(PercentComplete&gt;60%,"",IF(V75="N/A","",TEXT(V75,"$#,##0")&amp;" "&amp;U12&amp;" TERM2 FSEOG OVERPAYMENT (RETURNED ON STUDENTS BEHALF), ")),"")</f>
        <v>#VALUE!</v>
      </c>
      <c r="AA75" s="198"/>
      <c r="AB75" s="198"/>
      <c r="AC75" s="198"/>
    </row>
    <row r="76" spans="12:29" x14ac:dyDescent="0.25">
      <c r="T76" s="198"/>
      <c r="U76" s="198"/>
      <c r="V76" s="164" t="e">
        <f>IF(PercentComplete&gt;60%,0,IF(T72&lt;=50,0,'Page 2'!BA59))</f>
        <v>#VALUE!</v>
      </c>
      <c r="W76" s="163"/>
      <c r="X76" s="216" t="e">
        <f>IF(V76&gt;0,IF(PercentComplete&gt;60%,"",IF(V76="N/A","",TEXT(V76,"$#,##0")&amp;" "&amp;U12&amp;" TERM1 TEACH OVERPAYMENT (RETURNED ON STUDENTS BEHALF), ")),"")</f>
        <v>#VALUE!</v>
      </c>
      <c r="Y76" s="198"/>
      <c r="Z76" s="216" t="e">
        <f>IF(V76&gt;0,IF(PercentComplete&gt;60%,"",IF(V76="N/A","",TEXT(V76,"$#,##0")&amp;" "&amp;U12&amp;" TERM2 TEACHOVERPAYMENT (RETURNED ON STUDENTS BEHALF), ")),"")</f>
        <v>#VALUE!</v>
      </c>
      <c r="AA76" s="198"/>
      <c r="AB76" s="198"/>
      <c r="AC76" s="198"/>
    </row>
    <row r="77" spans="12:29" x14ac:dyDescent="0.25">
      <c r="T77" s="198"/>
      <c r="U77" s="198"/>
      <c r="V77" s="198"/>
      <c r="W77" s="198"/>
      <c r="X77" s="198"/>
      <c r="Y77" s="198"/>
      <c r="Z77" s="106"/>
      <c r="AA77" s="198"/>
      <c r="AB77" s="198"/>
      <c r="AC77" s="198"/>
    </row>
    <row r="78" spans="12:29" x14ac:dyDescent="0.25">
      <c r="T78" s="198" t="s">
        <v>269</v>
      </c>
      <c r="U78" s="198"/>
      <c r="V78" s="198" t="s">
        <v>270</v>
      </c>
      <c r="W78" s="198"/>
      <c r="X78" s="198"/>
      <c r="Y78" s="198"/>
      <c r="Z78" s="198"/>
      <c r="AA78" s="198"/>
      <c r="AB78" s="198"/>
      <c r="AC78" s="198"/>
    </row>
    <row r="79" spans="12:29" x14ac:dyDescent="0.25">
      <c r="T79" s="111" t="s">
        <v>268</v>
      </c>
      <c r="U79" s="198"/>
      <c r="V79" s="111" t="s">
        <v>268</v>
      </c>
      <c r="W79" s="198"/>
      <c r="X79" s="212" t="s">
        <v>271</v>
      </c>
      <c r="Y79" s="198"/>
      <c r="Z79" s="198"/>
      <c r="AA79" s="198"/>
      <c r="AB79" s="198"/>
      <c r="AC79" s="198"/>
    </row>
    <row r="80" spans="12:29" x14ac:dyDescent="0.25">
      <c r="T80" s="215" t="e">
        <f>IF(V73=0,"",IF(PercentComplete&gt;60%,"",IF(V73="N/A","",TEXT(V73,"$#,##0")&amp;" "&amp;U12&amp;" TERM1 PELL ")))</f>
        <v>#VALUE!</v>
      </c>
      <c r="U80" s="198"/>
      <c r="V80" s="215" t="e">
        <f>IF(V73=0,"",IF(PercentComplete&gt;60%,"",IF(V73="N/A","",TEXT(V73,"$#,##0")&amp;" "&amp;U12&amp;" TERM2 PELL ")))</f>
        <v>#VALUE!</v>
      </c>
      <c r="W80" s="198"/>
      <c r="X80" s="109" t="e">
        <f>IF(PercentComplete&gt;60%,"",IF(T72=0,"",IF(T72&lt;=50,"DID NOT RETURN "&amp;_xlfn.TEXTJOIN(CHAR(10),TRUE,V80&amp;V81&amp;V82&amp;V83)&amp;"OVERPAYMENT SINCE IT IS LESS THAN $50, ",_xlfn.TEXTJOIN(CHAR(10),TRUE,V80&amp;V81&amp;V82&amp;V83)&amp;"OVERPAYMENT (RETURNED ON THE STUDENTS BEHALF), ")))</f>
        <v>#VALUE!</v>
      </c>
      <c r="Y80" s="198"/>
      <c r="Z80" s="198"/>
      <c r="AA80" s="198"/>
      <c r="AB80" s="198"/>
      <c r="AC80" s="198"/>
    </row>
    <row r="81" spans="12:29" x14ac:dyDescent="0.25">
      <c r="L81" s="193"/>
      <c r="M81" s="195"/>
      <c r="T81" s="215" t="e">
        <f>IF(V74=0,"",IF(PercentComplete&gt;60%,"",IF(V74="N/A","",TEXT(V74,"$#,##0")&amp;" "&amp;U12&amp;" TERM1 GRANT ")))</f>
        <v>#VALUE!</v>
      </c>
      <c r="U81" s="198"/>
      <c r="V81" s="215" t="e">
        <f>IF(V74=0,"",IF(PercentComplete&gt;60%,"",IF(V74="N/A","",TEXT(V74,"$#,##0")&amp;" "&amp;U12&amp;" TERM2 GRANT ")))</f>
        <v>#VALUE!</v>
      </c>
      <c r="W81" s="198"/>
      <c r="X81" s="109" t="e">
        <f>IF(PercentComplete&gt;60%,"",IF(T72=0,"",_xlfn.TEXTJOIN(CHAR(10),TRUE,T80:T83)&amp;"OVERPAYMENT (RETURNED ON THE STUDENTS BEHALF), "))</f>
        <v>#VALUE!</v>
      </c>
      <c r="Y81" s="198"/>
      <c r="Z81" s="198"/>
      <c r="AA81" s="198"/>
      <c r="AB81" s="198"/>
      <c r="AC81" s="198"/>
    </row>
    <row r="82" spans="12:29" x14ac:dyDescent="0.25">
      <c r="T82" s="215" t="e">
        <f>IF(V75=0,"",IF(PercentComplete&gt;60%,"",IF(V75="N/A","",TEXT(V75,"$#,##0")&amp;" "&amp;U12&amp;" TERM1 FSEOG ")))</f>
        <v>#VALUE!</v>
      </c>
      <c r="U82" s="198"/>
      <c r="V82" s="215" t="e">
        <f>IF(V75=0,"",IF(PercentComplete&gt;60%,"",IF(V75="N/A","",TEXT(V75,"$#,##0")&amp;" "&amp;U12&amp;" TERM2 FSEOG ")))</f>
        <v>#VALUE!</v>
      </c>
      <c r="W82" s="198"/>
      <c r="X82" s="198" t="e">
        <f>IF(T120="Military Withdrawal",X73&amp;X74&amp;X75&amp;X76&amp;" (IS CONSIDERED AS OVERPAYMENT AS PART OF WAIVER TO ASSIST AFFECTED INDIVIDUAL), ",X73&amp;X74&amp;X75&amp;X76)</f>
        <v>#VALUE!</v>
      </c>
      <c r="Y82" s="198"/>
      <c r="Z82" s="198"/>
      <c r="AA82" s="198"/>
      <c r="AB82" s="198"/>
      <c r="AC82" s="198"/>
    </row>
    <row r="83" spans="12:29" x14ac:dyDescent="0.25">
      <c r="T83" s="215" t="e">
        <f>IF(V76=0,"",IF(PercentComplete&gt;60%,"",IF(V76="N/A","",TEXT(V76,"$#,##0")&amp;" "&amp;U12&amp;" TERM1 TEACH ")))</f>
        <v>#VALUE!</v>
      </c>
      <c r="U83" s="198"/>
      <c r="V83" s="216" t="e">
        <f>IF(V76=0,"",IF(PercentComplete&gt;60%,"",IF(V76="N/A","",TEXT(V76,"$#,##0")&amp;" "&amp;U12&amp;" TERM2 TEACH ")))</f>
        <v>#VALUE!</v>
      </c>
      <c r="W83" s="198"/>
      <c r="X83" s="198" t="e">
        <f>IF(T120="Military Withdrawal",Z73&amp;Z74&amp;Z75&amp;Z76&amp;" (IS CONSIDERED AS OVERPAYMENT AS PART OF WAIVER TO ASSIST AFFECTED INDIVIDUAL), ",IF(T2,X73&amp;X74&amp;X75&amp;X76,Z73&amp;Z74&amp;Z75&amp;Z76))</f>
        <v>#VALUE!</v>
      </c>
      <c r="Y83" s="198"/>
      <c r="Z83" s="198"/>
      <c r="AA83" s="198"/>
      <c r="AB83" s="198"/>
      <c r="AC83" s="198"/>
    </row>
    <row r="84" spans="12:29" x14ac:dyDescent="0.25">
      <c r="T84" s="212"/>
      <c r="U84" s="198"/>
      <c r="V84" s="212" t="s">
        <v>329</v>
      </c>
      <c r="W84" s="212" t="s">
        <v>328</v>
      </c>
      <c r="X84" s="212" t="s">
        <v>278</v>
      </c>
      <c r="Y84" s="198"/>
      <c r="Z84" s="212" t="s">
        <v>278</v>
      </c>
      <c r="AA84" s="198"/>
      <c r="AB84" s="212" t="s">
        <v>358</v>
      </c>
      <c r="AC84" s="198"/>
    </row>
    <row r="85" spans="12:29" x14ac:dyDescent="0.25">
      <c r="T85" s="212" t="s">
        <v>272</v>
      </c>
      <c r="U85" s="194" t="e">
        <f>IF(BoxJ="Go To K",0,IF(BoxJ="STOP",0,ROUNDUP(BoxJ,2)))</f>
        <v>#VALUE!</v>
      </c>
      <c r="V85" s="165" t="s">
        <v>273</v>
      </c>
      <c r="W85" s="165" t="s">
        <v>273</v>
      </c>
      <c r="X85" s="111" t="s">
        <v>280</v>
      </c>
      <c r="Y85" s="198"/>
      <c r="Z85" s="111" t="s">
        <v>279</v>
      </c>
      <c r="AA85" s="198"/>
      <c r="AB85" s="165" t="s">
        <v>273</v>
      </c>
      <c r="AC85" s="165" t="s">
        <v>273</v>
      </c>
    </row>
    <row r="86" spans="12:29" x14ac:dyDescent="0.25">
      <c r="T86" s="194">
        <f>IF(ISBLANK(E11),0,IF(U85&gt;E11,E11,U85))</f>
        <v>0</v>
      </c>
      <c r="U86" s="194" t="e">
        <f>U85-T86</f>
        <v>#VALUE!</v>
      </c>
      <c r="V86" s="214" t="str">
        <f>IF(T86=0,"",TEXT(T86,"$#,##0")&amp;" "&amp;U12&amp;" PELL")</f>
        <v/>
      </c>
      <c r="W86" s="214" t="str">
        <f>IF(T86=0,"",TEXT(T86,"$#,##0")&amp;" "&amp;U14&amp;" PELL")</f>
        <v/>
      </c>
      <c r="X86" s="121" t="str">
        <f>IF(ISBLANK(E11),"",TEXT(E11,"$#,##0")&amp;" "&amp;U12&amp;" TERM1 PELL, ")</f>
        <v/>
      </c>
      <c r="Y86" s="198"/>
      <c r="Z86" s="121" t="str">
        <f>IF(ISBLANK(E11),"",TEXT(E11,"$#,##0")&amp;" "&amp;U12&amp;" TERM2 PELL, ")</f>
        <v/>
      </c>
      <c r="AA86" s="198"/>
      <c r="AB86" s="214" t="str">
        <f>IF(T86=0,"",TEXT(T86,"$#,##0")&amp;" "&amp;U12&amp;" TERM1 PELL, ")</f>
        <v/>
      </c>
      <c r="AC86" s="214" t="str">
        <f>IF(T86=0,"",TEXT(T86,"$#,##0")&amp;" "&amp;U12&amp;" TERM2 PELL, ")</f>
        <v/>
      </c>
    </row>
    <row r="87" spans="12:29" x14ac:dyDescent="0.25">
      <c r="T87" s="194">
        <f>IF(ISBLANK(E12),0,IF(U86&gt;E12,E12,U86))</f>
        <v>0</v>
      </c>
      <c r="U87" s="194" t="e">
        <f>U86-T87</f>
        <v>#VALUE!</v>
      </c>
      <c r="V87" s="214" t="str">
        <f>IF(T87=0,"",TEXT(T87,"$#,##0")&amp;" "&amp;U12&amp;" GRANT")</f>
        <v/>
      </c>
      <c r="W87" s="215" t="str">
        <f>IF(T87=0,"",TEXT(T87,"$#,##0")&amp;" "&amp;U14&amp;" GRANT")</f>
        <v/>
      </c>
      <c r="X87" s="121" t="str">
        <f>IF(ISBLANK(E12),"",TEXT(E12,"$#,##0")&amp;" "&amp;U12&amp;" TERM1 GRANT, ")</f>
        <v/>
      </c>
      <c r="Y87" s="198"/>
      <c r="Z87" s="121" t="str">
        <f>IF(ISBLANK(E12),"",TEXT(E12,"$#,##0")&amp;" "&amp;U12&amp;" TERM2 GRANT, ")</f>
        <v/>
      </c>
      <c r="AA87" s="198"/>
      <c r="AB87" s="214" t="str">
        <f>IF(T87=0,"",TEXT(T87,"$#,##0")&amp;" "&amp;U12&amp;" TERM1 GRANT, ")</f>
        <v/>
      </c>
      <c r="AC87" s="215" t="str">
        <f>IF(T87=0,"",TEXT(T87,"$#,##0")&amp;" "&amp;U12&amp;" TERM2 GRANT, ")</f>
        <v/>
      </c>
    </row>
    <row r="88" spans="12:29" x14ac:dyDescent="0.25">
      <c r="T88" s="194">
        <f>IF(ISBLANK(E13),0,IF(U87&gt;E13,E13,U87))</f>
        <v>0</v>
      </c>
      <c r="U88" s="194" t="e">
        <f>U87-T88</f>
        <v>#VALUE!</v>
      </c>
      <c r="V88" s="214" t="str">
        <f>IF(T88=0,"",TEXT(T88,"$#,##0")&amp;" "&amp;U12&amp;" FSEOG")</f>
        <v/>
      </c>
      <c r="W88" s="215" t="str">
        <f>IF(T88=0,"",TEXT(T88,"$#,##0")&amp;" "&amp;U14&amp;" FSEOG")</f>
        <v/>
      </c>
      <c r="X88" s="121" t="str">
        <f>IF(ISBLANK(E13),"",TEXT(E13,"$#,##0")&amp;" "&amp;U12&amp;" TERM1 FSEOG, ")</f>
        <v/>
      </c>
      <c r="Y88" s="198"/>
      <c r="Z88" s="121" t="str">
        <f>IF(ISBLANK(E13),"",TEXT(E13,"$#,##0")&amp;" "&amp;U12&amp;" TERM2 FSEOG, ")</f>
        <v/>
      </c>
      <c r="AA88" s="198"/>
      <c r="AB88" s="214" t="str">
        <f>IF(T88=0,"",TEXT(T88,"$#,##0")&amp;" "&amp;U12&amp;" TERM1 FSEOG, ")</f>
        <v/>
      </c>
      <c r="AC88" s="215" t="str">
        <f>IF(T88=0,"",TEXT(T88,"$#,##0")&amp;" "&amp;U12&amp;" TERM2 FSEOG, ")</f>
        <v/>
      </c>
    </row>
    <row r="89" spans="12:29" x14ac:dyDescent="0.25">
      <c r="T89" s="194">
        <f>IF(ISBLANK(E14),0,IF(U88&gt;E14,E14,U88))</f>
        <v>0</v>
      </c>
      <c r="U89" s="194" t="e">
        <f>U88-T89</f>
        <v>#VALUE!</v>
      </c>
      <c r="V89" s="214" t="str">
        <f>IF(T89=0,"",TEXT(T89,"$#,##0")&amp;" "&amp;U12&amp;" TEACH")</f>
        <v/>
      </c>
      <c r="W89" s="215" t="str">
        <f>IF(T89=0,"",TEXT(T89,"$#,##0")&amp;" "&amp;U14&amp;" TEACH")</f>
        <v/>
      </c>
      <c r="X89" s="121" t="str">
        <f>IF(ISBLANK(E14),"",TEXT(E14,"$#,##0")&amp;" "&amp;U12&amp;" TERM1 TEACH, ")</f>
        <v/>
      </c>
      <c r="Y89" s="198"/>
      <c r="Z89" s="121" t="str">
        <f>IF(ISBLANK(E14),"",TEXT(E14,"$#,##0")&amp;" "&amp;U12&amp;" TERM2 TEACH, ")</f>
        <v/>
      </c>
      <c r="AA89" s="198"/>
      <c r="AB89" s="214" t="str">
        <f>IF(T89=0,"",TEXT(T89,"$#,##0")&amp;" "&amp;U12&amp;" TERM1 TEACH, ")</f>
        <v/>
      </c>
      <c r="AC89" s="215" t="str">
        <f>IF(T89=0,"",TEXT(T89,"$#,##0")&amp;" "&amp;U12&amp;" TERM2 TEACH, ")</f>
        <v/>
      </c>
    </row>
    <row r="90" spans="12:29" x14ac:dyDescent="0.25">
      <c r="T90" s="194">
        <f>IF(ISBLANK(E16),0,IF(U91&gt;E16,E16,U91))</f>
        <v>0</v>
      </c>
      <c r="U90" s="194" t="e">
        <f>U91-T90</f>
        <v>#VALUE!</v>
      </c>
      <c r="V90" s="214" t="str">
        <f>IF(T90=0,"",TEXT(T90,"$#,##0")&amp;" UNSUB1 (net)")</f>
        <v/>
      </c>
      <c r="W90" s="215" t="str">
        <f>IF(T90=0,"",TEXT(T90,"$#,##0")&amp;" UNSUB2 (net)")</f>
        <v/>
      </c>
      <c r="X90" s="121" t="str">
        <f>IF(ISBLANK(E16),"",IF(W100,IF(ISBLANK(D16),"NET "&amp;TEXT(E16,"$#,##0")&amp;" UNSUB1 ",V109),IF(ISBLANK(E16),"","NET "&amp;TEXT(E16,"$#,##0")&amp;" UNSUB1, ")))</f>
        <v/>
      </c>
      <c r="Y90" s="198"/>
      <c r="Z90" s="121" t="str">
        <f>IF(ISBLANK(E16),"",IF(W100,IF(ISBLANK(D16),"NET "&amp;TEXT(E16,"$#,##0")&amp;" UNSUB2 ",V109),IF(ISBLANK(E16),"","NET "&amp;TEXT(E16,"$#,##0")&amp;" UNSUB2, ")))</f>
        <v/>
      </c>
      <c r="AA90" s="198"/>
      <c r="AB90" s="214" t="str">
        <f>IF(T90=0,"","NET "&amp;TEXT(T90,"$#,##0")&amp;" UNSUB1, ")</f>
        <v/>
      </c>
      <c r="AC90" s="215" t="str">
        <f>IF(T90=0,"","NET "&amp;TEXT(T90,"$#,##0")&amp;" UNSUB2, ")</f>
        <v/>
      </c>
    </row>
    <row r="91" spans="12:29" x14ac:dyDescent="0.25">
      <c r="T91" s="194">
        <f>IF(ISBLANK(E17),0,IF(U92&gt;E17,E17,U92))</f>
        <v>0</v>
      </c>
      <c r="U91" s="194" t="e">
        <f>U92-T91</f>
        <v>#VALUE!</v>
      </c>
      <c r="V91" s="214" t="str">
        <f>IF(T91=0,"",TEXT(T91,"$#,##0")&amp;" SUB1 (net)")</f>
        <v/>
      </c>
      <c r="W91" s="215" t="str">
        <f>IF(T91=0,"",TEXT(T91,"$#,##0")&amp;" SUB2 (net)")</f>
        <v/>
      </c>
      <c r="X91" s="121" t="str">
        <f>IF(ISBLANK(E17),"",IF(W100,IF(ISBLANK(D17),"NET "&amp;TEXT(E17,"$#,##0")&amp;" SUB1 ",V110),IF(ISBLANK(E17),"","NET "&amp;TEXT(E17,"$#,##0")&amp;" SUB1, ")))</f>
        <v/>
      </c>
      <c r="Y91" s="198"/>
      <c r="Z91" s="121" t="str">
        <f>IF(ISBLANK(E17),"",IF(W100,IF(ISBLANK(D17),"NET "&amp;TEXT(E17,"$#,##0")&amp;" SUB2 ",V110),IF(ISBLANK(E17),"","NET "&amp;TEXT(E17,"$#,##0")&amp;" SUB2, ")))</f>
        <v/>
      </c>
      <c r="AA91" s="198"/>
      <c r="AB91" s="214" t="str">
        <f>IF(T91=0,"","NET "&amp;TEXT(T91,"$#,##0")&amp;" SUB1, ")</f>
        <v/>
      </c>
      <c r="AC91" s="215" t="str">
        <f>IF(T91=0,"","NET "&amp;TEXT(T91,"$#,##0")&amp;" SUB2, ")</f>
        <v/>
      </c>
    </row>
    <row r="92" spans="12:29" x14ac:dyDescent="0.25">
      <c r="T92" s="194">
        <f>IF(ISBLANK(E18),0,IF(U89&gt;E18,E18,U89))</f>
        <v>0</v>
      </c>
      <c r="U92" s="194" t="e">
        <f>U89-T92</f>
        <v>#VALUE!</v>
      </c>
      <c r="V92" s="215" t="str">
        <f>IF(T92=0,"",TEXT(T92,"$#,##0")&amp;" "&amp;U12&amp;" PERKINS")</f>
        <v/>
      </c>
      <c r="W92" s="215" t="str">
        <f>IF(T92=0,"",TEXT(T92,"$#,##0")&amp;" "&amp;U14&amp;" PERKINS")</f>
        <v/>
      </c>
      <c r="X92" s="121" t="str">
        <f>IF(ISBLANK(E18),"",IF(W100,IF(ISBLANK(D18),"NET "&amp;TEXT(E18,"$#,##0")&amp;" "&amp;U12&amp;" TERM1 PERKINS ",V111),IF(ISBLANK(E18),"",TEXT(E18,"$#,##0")&amp;" "&amp;U12&amp;" TERM1 PERKINS, ")))</f>
        <v/>
      </c>
      <c r="Y92" s="198"/>
      <c r="Z92" s="121" t="str">
        <f>IF(ISBLANK(E18),"",IF(W100,IF(ISBLANK(D18),"NET "&amp;TEXT(E18,"$#,##0")&amp;" "&amp;U12&amp;" TERM2 PERKINS ",V111),IF(ISBLANK(E18),"",TEXT(E18,"$#,##0")&amp;" "&amp;U12&amp;" TERM2 PERKINS, ")))</f>
        <v/>
      </c>
      <c r="AA92" s="198"/>
      <c r="AB92" s="215" t="str">
        <f>IF(T92=0,"",TEXT(T92,"$#,##0")&amp;" "&amp;U14&amp;" TERM1 PERKINS, ")</f>
        <v/>
      </c>
      <c r="AC92" s="215" t="str">
        <f>IF(T92=0,"",TEXT(T92,"$#,##0")&amp;" "&amp;U14&amp;" TERM2 PERKINS, ")</f>
        <v/>
      </c>
    </row>
    <row r="93" spans="12:29" x14ac:dyDescent="0.25">
      <c r="T93" s="194">
        <f>IF(ISBLANK(E19),0,IF(U90&gt;E19,E19,U90))</f>
        <v>0</v>
      </c>
      <c r="U93" s="194" t="e">
        <f>U90-T93</f>
        <v>#VALUE!</v>
      </c>
      <c r="V93" s="215" t="str">
        <f>IF(T93=0,"",TEXT(T93,"$#,##0")&amp;" GRAD PLUS (net)")</f>
        <v/>
      </c>
      <c r="W93" s="215" t="str">
        <f>IF(T93=0,"",TEXT(T93,"$#,##0")&amp;" GRAD PLUS (net)")</f>
        <v/>
      </c>
      <c r="X93" s="121" t="str">
        <f>IF(ISBLANK(E19),"",IF(W100,IF(ISBLANK(D19),"NET "&amp;TEXT(E19,"$#,##0")&amp;" TERM1 GRAD PLUS ",V112),IF(ISBLANK(E19),"","NET "&amp;TEXT(E19,"$#,##0")&amp;" TERM1 GRAD PLUS, ")))</f>
        <v/>
      </c>
      <c r="Y93" s="198"/>
      <c r="Z93" s="121" t="str">
        <f>IF(ISBLANK(E19),"",IF(W100,IF(ISBLANK(D19),"NET "&amp;TEXT(E19,"$#,##0")&amp;" TERM2 GRAD PLUS ",V112),IF(ISBLANK(E19),"","NET "&amp;TEXT(E19,"$#,##0")&amp;" TERM2 GRAD PLUS, ")))</f>
        <v/>
      </c>
      <c r="AA93" s="198"/>
      <c r="AB93" s="215" t="str">
        <f>IF(T93=0,"","NET"&amp;TEXT(T93,"$#,##0")&amp;" TERM1 GRAD PLUS, ")</f>
        <v/>
      </c>
      <c r="AC93" s="215" t="str">
        <f>IF(T93=0,"","NET"&amp;TEXT(T93,"$#,##0")&amp;" TERM2 GRAD PLUS, ")</f>
        <v/>
      </c>
    </row>
    <row r="94" spans="12:29" x14ac:dyDescent="0.25">
      <c r="T94" s="194">
        <f>IF(ISBLANK(E20),0,IF(U93&gt;E20,E20,U93))</f>
        <v>0</v>
      </c>
      <c r="U94" s="194" t="e">
        <f>U93-T94</f>
        <v>#VALUE!</v>
      </c>
      <c r="V94" s="216" t="str">
        <f>IF(T94=0,"",TEXT(T94,"$#,##0")&amp;" PARENT PLUS (net)")</f>
        <v/>
      </c>
      <c r="W94" s="216" t="str">
        <f>IF(T94=0,"",TEXT(T94,"$#,##0")&amp;" PARENT PLUS (net)")</f>
        <v/>
      </c>
      <c r="X94" s="121" t="str">
        <f>IF(ISBLANK(E20),"",IF(W101,IF(ISBLANK(D20),"NET "&amp;TEXT(E20,"$#,##0")&amp;" TERM1 PARENT PLUS ",V113),IF(ISBLANK(E20),"","NET "&amp;TEXT(E20,"$#,##0")&amp;" TERM1 PARENT PLUS, ")))</f>
        <v/>
      </c>
      <c r="Y94" s="198"/>
      <c r="Z94" s="139" t="str">
        <f>IF(ISBLANK(E20),"",IF(W101,IF(ISBLANK(D20),"NET "&amp;TEXT(E20,"$#,##0")&amp;" TERM2 PARENT PLUS ",V113),IF(ISBLANK(E20),"","NET "&amp;TEXT(E20,"$#,##0")&amp;" TERM2 PARENT PLUS, ")))</f>
        <v/>
      </c>
      <c r="AA94" s="198"/>
      <c r="AB94" s="216" t="str">
        <f>IF(T94=0,"","NET"&amp;TEXT(T94,"$#,##0")&amp;" TERM1 PARENT PLUS, ")</f>
        <v/>
      </c>
      <c r="AC94" s="216" t="str">
        <f>IF(T94=0,"","NET"&amp;TEXT(T94,"$#,##0")&amp;" TERM2 PARENT PLUS, ")</f>
        <v/>
      </c>
    </row>
    <row r="95" spans="12:29" x14ac:dyDescent="0.25">
      <c r="T95" s="212" t="s">
        <v>277</v>
      </c>
      <c r="U95" s="198"/>
      <c r="V95" s="198"/>
      <c r="W95" s="198"/>
      <c r="X95" s="212" t="s">
        <v>281</v>
      </c>
      <c r="Y95" s="212" t="s">
        <v>284</v>
      </c>
      <c r="Z95" s="198"/>
      <c r="AA95" s="198"/>
      <c r="AB95" s="198"/>
      <c r="AC95" s="198"/>
    </row>
    <row r="96" spans="12:29" x14ac:dyDescent="0.25">
      <c r="T96" s="150">
        <f>SUM(E11:E20)</f>
        <v>0</v>
      </c>
      <c r="U96" s="198"/>
      <c r="V96" s="198"/>
      <c r="W96" s="198"/>
      <c r="X96" s="166" t="str">
        <f>_xlfn.TEXTJOIN(CHAR(10),TRUE,Z86&amp;Z87&amp;Z88&amp;Z89&amp;Z91&amp;Z90&amp;Z92&amp;Z93&amp;Z94)</f>
        <v/>
      </c>
      <c r="Y96" s="167">
        <f>SUM(E11:E20)</f>
        <v>0</v>
      </c>
      <c r="Z96" s="198"/>
      <c r="AA96" s="198"/>
      <c r="AB96" s="198"/>
      <c r="AC96" s="212" t="s">
        <v>450</v>
      </c>
    </row>
    <row r="97" spans="20:30" x14ac:dyDescent="0.25">
      <c r="T97" s="198"/>
      <c r="U97" s="198"/>
      <c r="V97" s="198"/>
      <c r="W97" s="198"/>
      <c r="X97" s="198" t="str">
        <f>_xlfn.TEXTJOIN(CHAR(10),TRUE,X86&amp;X87&amp;X88&amp;X89&amp;X91&amp;X90&amp;X92&amp;X93&amp;X94)</f>
        <v/>
      </c>
      <c r="Y97" s="212" t="s">
        <v>351</v>
      </c>
      <c r="Z97" s="198" t="b">
        <v>0</v>
      </c>
      <c r="AA97" s="212" t="s">
        <v>446</v>
      </c>
      <c r="AB97" s="198" t="b">
        <v>0</v>
      </c>
      <c r="AC97" s="198" t="b">
        <v>0</v>
      </c>
    </row>
    <row r="98" spans="20:30" x14ac:dyDescent="0.25">
      <c r="T98" s="198"/>
      <c r="U98" s="198"/>
      <c r="V98" s="198"/>
      <c r="W98" s="198"/>
      <c r="X98" s="212"/>
      <c r="Y98" s="212" t="s">
        <v>352</v>
      </c>
      <c r="Z98" s="198" t="b">
        <v>0</v>
      </c>
      <c r="AA98" s="212" t="s">
        <v>447</v>
      </c>
      <c r="AB98" s="198" t="b">
        <v>0</v>
      </c>
      <c r="AC98" s="198"/>
    </row>
    <row r="99" spans="20:30" x14ac:dyDescent="0.25">
      <c r="T99" s="212" t="s">
        <v>274</v>
      </c>
      <c r="U99" s="198"/>
      <c r="V99" s="198"/>
      <c r="W99" s="212" t="s">
        <v>283</v>
      </c>
      <c r="X99" s="198"/>
      <c r="Y99" s="212" t="s">
        <v>353</v>
      </c>
      <c r="Z99" s="198" t="b">
        <v>0</v>
      </c>
      <c r="AA99" s="212" t="s">
        <v>448</v>
      </c>
      <c r="AB99" s="198" t="b">
        <v>0</v>
      </c>
      <c r="AC99" s="198"/>
    </row>
    <row r="100" spans="20:30" x14ac:dyDescent="0.25">
      <c r="T100" s="198" t="b">
        <v>0</v>
      </c>
      <c r="U100" s="198" t="str">
        <f>IF(T120="Withdrawal Change","DROP CORRECTION, % CHANGED FROM "&amp;TEXT(D8,"0.0%")&amp;" TO "&amp;TEXT(PercentComplete,"0.0%")&amp;". UPDATED ","")</f>
        <v/>
      </c>
      <c r="V100" s="198"/>
      <c r="W100" s="198" t="b">
        <v>0</v>
      </c>
      <c r="X100" s="198"/>
      <c r="Y100" s="212" t="s">
        <v>354</v>
      </c>
      <c r="Z100" s="198" t="b">
        <v>0</v>
      </c>
      <c r="AA100" s="212" t="s">
        <v>449</v>
      </c>
      <c r="AB100" s="198" t="b">
        <v>0</v>
      </c>
      <c r="AC100" s="198"/>
    </row>
    <row r="101" spans="20:30" x14ac:dyDescent="0.25">
      <c r="T101" s="198"/>
      <c r="U101" s="198"/>
      <c r="V101" s="198"/>
      <c r="W101" s="198"/>
      <c r="X101" s="198"/>
      <c r="Y101" s="212" t="s">
        <v>355</v>
      </c>
      <c r="Z101" s="198" t="b">
        <v>0</v>
      </c>
      <c r="AA101" s="198"/>
      <c r="AB101" s="198"/>
      <c r="AC101" s="198"/>
    </row>
    <row r="102" spans="20:30" x14ac:dyDescent="0.25">
      <c r="T102" s="212" t="s">
        <v>290</v>
      </c>
      <c r="U102" s="212"/>
      <c r="V102" s="212" t="s">
        <v>291</v>
      </c>
      <c r="W102" s="212"/>
      <c r="X102" s="165" t="s">
        <v>294</v>
      </c>
      <c r="Y102" s="198"/>
      <c r="Z102" s="165" t="s">
        <v>295</v>
      </c>
      <c r="AA102" s="198"/>
      <c r="AB102" s="198"/>
      <c r="AC102" s="198"/>
    </row>
    <row r="103" spans="20:30" x14ac:dyDescent="0.25">
      <c r="T103" s="150">
        <f>SUM(H16:H20)</f>
        <v>0</v>
      </c>
      <c r="U103" s="198"/>
      <c r="V103" s="167">
        <f>SUM(I16:I20)</f>
        <v>0</v>
      </c>
      <c r="W103" s="198"/>
      <c r="X103" s="215" t="e">
        <f>IF(ISBLANK(D16&amp;E16),"",IF(V24&gt;H16,"NET "&amp;TEXT(V24-I16,"$#,##0")&amp;" 1ST DISBURSEMENT OF UNSUB1, ","NET "&amp;IF(U85=0,TEXT(V24,"$#,##0"),TEXT(H16-T90,"$#,##0"))&amp;" 1ST DISBURSEMENT OF UNSUB1, "))</f>
        <v>#VALUE!</v>
      </c>
      <c r="Y103" s="198"/>
      <c r="Z103" s="215" t="str">
        <f>IF(ISBLANK(D16&amp;E16),"",TEXT(I16,"$#,##0")&amp;" 2ND DISBURSEMENT OF UNSUB1, ")</f>
        <v xml:space="preserve"> 2ND DISBURSEMENT OF UNSUB1, </v>
      </c>
      <c r="AA103" s="198"/>
      <c r="AB103" s="198"/>
      <c r="AC103" s="198"/>
    </row>
    <row r="104" spans="20:30" x14ac:dyDescent="0.25">
      <c r="T104" s="198"/>
      <c r="U104" s="212"/>
      <c r="V104" s="212"/>
      <c r="W104" s="198"/>
      <c r="X104" s="215" t="e">
        <f>IF(ISBLANK(D17&amp;E17),"",IF(V25&gt;H17,"NET "&amp;TEXT(V25-H17,"$#,##0")&amp;" 1ST DISBURSEMENT OF SUB1, ","NET "&amp;IF(U85=0,TEXT(V25,"$#,##0"),TEXT(H17-T91,"$#,##0"))&amp;" 1ST DISBURSEMENT OF SUB1, "))</f>
        <v>#VALUE!</v>
      </c>
      <c r="Y104" s="198"/>
      <c r="Z104" s="215" t="str">
        <f>IF(ISBLANK(D17&amp;E17),"","$"&amp;I17&amp;" 2ND DISBURSEMENT OF SUB1, ")</f>
        <v xml:space="preserve">$ 2ND DISBURSEMENT OF SUB1, </v>
      </c>
      <c r="AA104" s="212" t="s">
        <v>627</v>
      </c>
      <c r="AB104" s="149" t="b">
        <v>0</v>
      </c>
      <c r="AC104" s="212" t="s">
        <v>632</v>
      </c>
      <c r="AD104" s="198" t="b">
        <v>0</v>
      </c>
    </row>
    <row r="105" spans="20:30" x14ac:dyDescent="0.25">
      <c r="T105" s="212" t="s">
        <v>304</v>
      </c>
      <c r="U105" s="168"/>
      <c r="V105" s="168" t="s">
        <v>466</v>
      </c>
      <c r="W105" s="198"/>
      <c r="X105" s="215" t="e">
        <f>IF(ISBLANK(D18&amp;E18),"",IF(V26&gt;H18,"NET "&amp;TEXT(V26-H18,"$#,##0")&amp;" 1ST DISBURSEMENT OF PERKINS1, ","NET "&amp;IF(U85=0,TEXT(V26,"$#,##0"),TEXT(H18-T92,"$#,##0"))&amp;" 1ST DISBURSEMENT OF PERKINS1, "))</f>
        <v>#VALUE!</v>
      </c>
      <c r="Y105" s="198"/>
      <c r="Z105" s="215" t="str">
        <f>IF(ISBLANK(D18&amp;E18),"","$"&amp;I18&amp;" 2ND DISBURSEMENT OF TERM1 PERKINS, ")</f>
        <v xml:space="preserve">$ 2ND DISBURSEMENT OF TERM1 PERKINS, </v>
      </c>
      <c r="AA105" s="212" t="s">
        <v>628</v>
      </c>
      <c r="AB105" s="149" t="b">
        <v>0</v>
      </c>
      <c r="AC105" s="212" t="s">
        <v>633</v>
      </c>
      <c r="AD105" s="198" t="b">
        <v>0</v>
      </c>
    </row>
    <row r="106" spans="20:30" x14ac:dyDescent="0.25">
      <c r="T106" s="150">
        <f>SUM(D16:D20)</f>
        <v>0</v>
      </c>
      <c r="U106" s="150"/>
      <c r="V106" s="150">
        <f>SUM(E16:E20)</f>
        <v>0</v>
      </c>
      <c r="W106" s="198"/>
      <c r="X106" s="215" t="e">
        <f>IF(ISBLANK(D19&amp;E19),"",IF(V27&gt;H19,"NET "&amp;TEXT(V27-H19,"$#,##0")&amp;" 1ST DISBURSEMENT OF GRAD PLUS1, ","NET "&amp;IF(U85=0,TEXT(V27,"$#,##0"),TEXT(H19-T93,"$#,##0"))&amp;" 1ST DISBURSEMENT OF GRAD PLUS1, "))</f>
        <v>#VALUE!</v>
      </c>
      <c r="Y106" s="198"/>
      <c r="Z106" s="215" t="str">
        <f>IF(ISBLANK(D19&amp;E19),"","$"&amp;I19&amp;" 2ND DISBURSEMENT OF TERM1 GRAD PLUS, ")</f>
        <v xml:space="preserve">$ 2ND DISBURSEMENT OF TERM1 GRAD PLUS, </v>
      </c>
      <c r="AA106" s="212" t="s">
        <v>629</v>
      </c>
      <c r="AB106" s="149" t="b">
        <v>0</v>
      </c>
      <c r="AC106" s="212" t="s">
        <v>634</v>
      </c>
      <c r="AD106" s="198" t="b">
        <v>0</v>
      </c>
    </row>
    <row r="107" spans="20:30" x14ac:dyDescent="0.25">
      <c r="T107" s="198"/>
      <c r="U107" s="150"/>
      <c r="V107" s="150"/>
      <c r="W107" s="198"/>
      <c r="X107" s="215" t="e">
        <f>IF(ISBLANK(D20&amp;E20),"",IF(V28&gt;H20,"NET "&amp;TEXT(V28-H20,"$#,##0")&amp;" 1ST DISBURSEMENT OF PARENT PLUS1, ","NET "&amp;IF(U85=0,TEXT(V28,"$#,##0"),TEXT(H20-T94,"$#,##0"))&amp;" 1ST DISBURSEMENT OF PARENT PLUS1, "))</f>
        <v>#VALUE!</v>
      </c>
      <c r="Y107" s="198"/>
      <c r="Z107" s="216" t="str">
        <f>IF(ISBLANK(D20&amp;E20),"","$"&amp;I20&amp;" 2ND DISBURSEMENT OF TERM1 PARENT PLUS, ")</f>
        <v xml:space="preserve">$ 2ND DISBURSEMENT OF TERM1 PARENT PLUS, </v>
      </c>
      <c r="AA107" s="212" t="s">
        <v>630</v>
      </c>
      <c r="AB107" s="149" t="b">
        <v>0</v>
      </c>
      <c r="AC107" s="212" t="s">
        <v>635</v>
      </c>
      <c r="AD107" s="198" t="b">
        <v>0</v>
      </c>
    </row>
    <row r="108" spans="20:30" x14ac:dyDescent="0.25">
      <c r="T108" s="169" t="s">
        <v>305</v>
      </c>
      <c r="U108" s="285" t="s">
        <v>456</v>
      </c>
      <c r="V108" s="285" t="s">
        <v>457</v>
      </c>
      <c r="W108" s="198"/>
      <c r="X108" s="198" t="e">
        <f>_xlfn.TEXTJOIN(CHAR(10),TRUE,X107&amp;X106&amp;X105&amp;X104&amp;X103)</f>
        <v>#VALUE!</v>
      </c>
      <c r="Y108" s="198"/>
      <c r="Z108" s="198" t="str">
        <f>_xlfn.TEXTJOIN(CHAR(10),TRUE,Z107&amp;Z106&amp;Z105&amp;Z104&amp;Z103)</f>
        <v xml:space="preserve">$ 2ND DISBURSEMENT OF TERM1 PARENT PLUS, $ 2ND DISBURSEMENT OF TERM1 GRAD PLUS, $ 2ND DISBURSEMENT OF TERM1 PERKINS, $ 2ND DISBURSEMENT OF SUB1,  2ND DISBURSEMENT OF UNSUB1, </v>
      </c>
      <c r="AA108" s="212" t="s">
        <v>631</v>
      </c>
      <c r="AB108" s="149" t="b">
        <v>0</v>
      </c>
      <c r="AC108" s="212" t="s">
        <v>636</v>
      </c>
      <c r="AD108" s="198" t="b">
        <v>0</v>
      </c>
    </row>
    <row r="109" spans="20:30" x14ac:dyDescent="0.25">
      <c r="T109" s="198" t="str">
        <f>IF(T106=0,IF(T2,X86&amp;X87&amp;X88&amp;X89&amp;X90&amp;X91&amp;X92&amp;X93&amp;X94,Z86&amp;Z87&amp;Z88&amp;Z89&amp;Z90&amp;Z91&amp;Z92&amp;Z93&amp;Z94),V109&amp;V110&amp;V111&amp;V112&amp;V113)</f>
        <v/>
      </c>
      <c r="U109" s="284" t="str">
        <f>IF(H16=0,"","NET "&amp;TEXT(H16,"$#,##0")&amp;" 1ST DISBURSEMENT OF UNSUB"&amp;IF(T2,"1 ","2 "))</f>
        <v xml:space="preserve">NET  1ST DISBURSEMENT OF UNSUB1 </v>
      </c>
      <c r="V109" s="284" t="str">
        <f>IF(I16=0,"","NET "&amp;TEXT(I16,"$#,##0")&amp;" 2ND DISBURSEMENT OF UNSUB"&amp;IF(T2,"1 ","2 "))</f>
        <v xml:space="preserve">NET  2ND DISBURSEMENT OF UNSUB1 </v>
      </c>
      <c r="W109" s="198"/>
      <c r="X109" s="165" t="s">
        <v>296</v>
      </c>
      <c r="Y109" s="198"/>
      <c r="Z109" s="165" t="s">
        <v>297</v>
      </c>
      <c r="AA109" s="198"/>
      <c r="AB109" s="198"/>
      <c r="AC109" s="198"/>
    </row>
    <row r="110" spans="20:30" x14ac:dyDescent="0.25">
      <c r="T110" s="198"/>
      <c r="U110" s="284" t="str">
        <f>IF(H17=0,"","NET "&amp;TEXT(H17,"$#,##0")&amp;" 1ST DISBURSEMENT OF SUB"&amp;IF(T2,"1 ","2 "))</f>
        <v xml:space="preserve">NET  1ST DISBURSEMENT OF SUB1 </v>
      </c>
      <c r="V110" s="284" t="str">
        <f>IF(I17=0,"","NET "&amp;TEXT(I17,"$#,##0")&amp;" 2ND DISBURSEMENT OF SUB"&amp;IF(T2,"1 ","2 "))</f>
        <v xml:space="preserve">NET  2ND DISBURSEMENT OF SUB1 </v>
      </c>
      <c r="W110" s="198"/>
      <c r="X110" s="215" t="e">
        <f>IF(ISBLANK(D16&amp;E16),"",IF(V24&gt;H16,"NET "&amp;TEXT(V24-H16,"$#,##0")&amp;" 1ST DISBURSEMENT OF UNSUB2, ","NET "&amp;IF(U85=0,TEXT(V24,"$#,##0"),TEXT(H16-T90,"$#,##0"))&amp;" 1ST DISBURSEMENT OF UNSUB2, "))</f>
        <v>#VALUE!</v>
      </c>
      <c r="Y110" s="198"/>
      <c r="Z110" s="215" t="str">
        <f>IF(ISBLANK(D16&amp;E16),"","$"&amp;I16&amp;" 2ND DISBURSEMENT OF UNSUB2, ")</f>
        <v xml:space="preserve">$ 2ND DISBURSEMENT OF UNSUB2, </v>
      </c>
      <c r="AA110" s="198"/>
      <c r="AB110" s="198"/>
      <c r="AC110" s="198"/>
    </row>
    <row r="111" spans="20:30" x14ac:dyDescent="0.25">
      <c r="T111" s="169" t="s">
        <v>198</v>
      </c>
      <c r="U111" s="284" t="str">
        <f>IF(H18=0,"","NET "&amp;TEXT(H18,"$#,##0")&amp;" 1ST DISBURSEMENT OF PERKINS"&amp;IF(T2,"1 ","2 "))</f>
        <v xml:space="preserve">NET  1ST DISBURSEMENT OF PERKINS1 </v>
      </c>
      <c r="V111" s="284" t="str">
        <f>IF(I18=0,"","NET "&amp;TEXT(I18,"$#,##0")&amp;" 2ND DISBURSEMENT OF PERKINS"&amp;IF(T2,"1 ","2 "))</f>
        <v xml:space="preserve">NET  2ND DISBURSEMENT OF PERKINS1 </v>
      </c>
      <c r="W111" s="198"/>
      <c r="X111" s="215" t="e">
        <f>IF(ISBLANK(D17&amp;E17),"",IF(V25&gt;H17,"NET "&amp;TEXT(V25-H17,"$#,##0")&amp;" 1ST DISBURSEMENT OF SUB2, ","NET "&amp;IF(U85=0,TEXT(V25,"$#,##0"),TEXT(H17-T91,"$#,##0"))&amp;" 1ST DISBURSEMENT OF SUB2, "))</f>
        <v>#VALUE!</v>
      </c>
      <c r="Y111" s="198"/>
      <c r="Z111" s="215" t="str">
        <f>IF(ISBLANK(D17&amp;E17),"","$"&amp;I17&amp;" 2ND DISBURSEMENT OF SUB2, ")</f>
        <v xml:space="preserve">$ 2ND DISBURSEMENT OF SUB2, </v>
      </c>
      <c r="AA111" s="198"/>
      <c r="AB111" s="198"/>
      <c r="AC111" s="198"/>
    </row>
    <row r="112" spans="20:30" x14ac:dyDescent="0.25">
      <c r="T112" s="198"/>
      <c r="U112" s="284" t="str">
        <f>IF(H19=0,"","NET "&amp;TEXT(H19,"$#,##0")&amp;" 1ST DISBURSEMENT OF GRAD PLUS"&amp;IF(T2,"1 ","2 "))</f>
        <v xml:space="preserve">NET  1ST DISBURSEMENT OF GRAD PLUS1 </v>
      </c>
      <c r="V112" s="284" t="str">
        <f>IF(I19=0,"","NET "&amp;TEXT(I19,"$#,##0")&amp;" 2ND DISBURSEMENT OF GRAD PLUS"&amp;IF(T2,"1 ","2 "))</f>
        <v xml:space="preserve">NET  2ND DISBURSEMENT OF GRAD PLUS1 </v>
      </c>
      <c r="W112" s="198"/>
      <c r="X112" s="215" t="e">
        <f>IF(ISBLANK(D18&amp;E18),"",IF(V26&gt;H18,"NET "&amp;TEXT(V26-H18,"$#,##0")&amp;" 1ST DISBURSEMENT OF PERKINS2, ","NET "&amp;IF(U85=0,TEXT(V26,"$#,##0"),TEXT(H18-T92,"$#,##0"))&amp;" 1ST DISBURSEMENT OF PERKINS2, "))</f>
        <v>#VALUE!</v>
      </c>
      <c r="Y112" s="198"/>
      <c r="Z112" s="215" t="str">
        <f>IF(ISBLANK(D18&amp;E18),"","$"&amp;I18&amp;" 2ND DISBURSEMENT OF TERM2 PERKINS, ")</f>
        <v xml:space="preserve">$ 2ND DISBURSEMENT OF TERM2 PERKINS, </v>
      </c>
      <c r="AA112" s="198"/>
      <c r="AB112" s="198"/>
      <c r="AC112" s="198"/>
    </row>
    <row r="113" spans="20:29" x14ac:dyDescent="0.25">
      <c r="T113" s="198"/>
      <c r="U113" s="284" t="str">
        <f>IF(H20=0,"","NET "&amp;TEXT(H20,"$#,##0")&amp;" 1ST DISBURSEMENT OF GRAD PLUS"&amp;IF(T2,"1 ","2 "))</f>
        <v xml:space="preserve">NET  1ST DISBURSEMENT OF GRAD PLUS1 </v>
      </c>
      <c r="V113" s="284" t="str">
        <f>IF(I20=0,"","NET "&amp;TEXT(I20,"$#,##0")&amp;" 2ND DISBURSEMENT OF PARENT PLUS"&amp;IF(T2,"1 ","2 "))</f>
        <v xml:space="preserve">NET  2ND DISBURSEMENT OF PARENT PLUS1 </v>
      </c>
      <c r="W113" s="198"/>
      <c r="X113" s="215" t="e">
        <f>IF(ISBLANK(D19&amp;E19),"",IF(V27&gt;H19,"NET "&amp;TEXT(V27-H19,"$#,##0")&amp;" 1ST DISBURSEMENT OF GRAD PLUS2, ","NET "&amp;IF(U85=0,TEXT(V27,"$#,##0"),TEXT(H19-T93,"$#,##0"))&amp;" 1ST DISBURSEMENT OF GRAD PLUS2, "))</f>
        <v>#VALUE!</v>
      </c>
      <c r="Y113" s="198"/>
      <c r="Z113" s="215" t="str">
        <f>IF(ISBLANK(D19&amp;E19),"","$"&amp;I19&amp;" 2ND DISBURSEMENT OF TERM2 GRAD PLUS, ")</f>
        <v xml:space="preserve">$ 2ND DISBURSEMENT OF TERM2 GRAD PLUS, </v>
      </c>
      <c r="AA113" s="198"/>
      <c r="AB113" s="212" t="s">
        <v>452</v>
      </c>
      <c r="AC113" s="198" t="b">
        <v>0</v>
      </c>
    </row>
    <row r="114" spans="20:29" x14ac:dyDescent="0.25">
      <c r="T114" s="169" t="s">
        <v>306</v>
      </c>
      <c r="U114" s="198"/>
      <c r="V114" s="198"/>
      <c r="W114" s="198"/>
      <c r="X114" s="216" t="e">
        <f>IF(ISBLANK(D20&amp;E20),"",IF(V28&gt;H20,"NET "&amp;TEXT(V28-H20,"$#,##0")&amp;" 1ST DISBURSEMENT OF PARENT PLUS2, ","NET "&amp;IF(U85=0,TEXT(V28,"$#,##0"),TEXT(H20-T94,"$#,##0"))&amp;" 1ST DISBURSEMENT OF PARENT PLUS2, "))</f>
        <v>#VALUE!</v>
      </c>
      <c r="Y114" s="198"/>
      <c r="Z114" s="216" t="str">
        <f>IF(ISBLANK(D20&amp;E20),"","$"&amp;I20&amp;" 2ND DISBURSEMENT OF TERM2 PARENT PLUS, ")</f>
        <v xml:space="preserve">$ 2ND DISBURSEMENT OF TERM2 PARENT PLUS, </v>
      </c>
      <c r="AA114" s="198"/>
      <c r="AB114" s="212" t="s">
        <v>451</v>
      </c>
      <c r="AC114" s="198" t="b">
        <v>0</v>
      </c>
    </row>
    <row r="115" spans="20:29" x14ac:dyDescent="0.25">
      <c r="T115" s="198"/>
      <c r="U115" s="198"/>
      <c r="V115" s="198"/>
      <c r="W115" s="198"/>
      <c r="X115" s="198" t="e">
        <f>_xlfn.TEXTJOIN(CHAR(10),TRUE,X114&amp;X113&amp;X112&amp;X111&amp;X110)</f>
        <v>#VALUE!</v>
      </c>
      <c r="Y115" s="198"/>
      <c r="Z115" s="198" t="str">
        <f>_xlfn.TEXTJOIN(CHAR(10),TRUE,Z114&amp;Z113&amp;Z112&amp;Z111&amp;Z110)</f>
        <v xml:space="preserve">$ 2ND DISBURSEMENT OF TERM2 PARENT PLUS, $ 2ND DISBURSEMENT OF TERM2 GRAD PLUS, $ 2ND DISBURSEMENT OF TERM2 PERKINS, $ 2ND DISBURSEMENT OF SUB2, $ 2ND DISBURSEMENT OF UNSUB2, </v>
      </c>
      <c r="AA115" s="198"/>
      <c r="AB115" s="212" t="s">
        <v>453</v>
      </c>
      <c r="AC115" s="198" t="b">
        <v>0</v>
      </c>
    </row>
    <row r="116" spans="20:29" x14ac:dyDescent="0.25">
      <c r="T116" s="198"/>
      <c r="U116" s="198"/>
      <c r="V116" s="198"/>
      <c r="W116" s="198"/>
      <c r="X116" s="212" t="s">
        <v>307</v>
      </c>
      <c r="Y116" s="198"/>
      <c r="Z116" s="212" t="s">
        <v>307</v>
      </c>
      <c r="AA116" s="198"/>
      <c r="AB116" s="212" t="s">
        <v>454</v>
      </c>
      <c r="AC116" s="198" t="b">
        <v>0</v>
      </c>
    </row>
    <row r="117" spans="20:29" x14ac:dyDescent="0.25">
      <c r="T117" s="198"/>
      <c r="U117" s="198"/>
      <c r="V117" s="198"/>
      <c r="W117" s="198"/>
      <c r="X117" s="198" t="e">
        <f>IF(T2,X108,X115)</f>
        <v>#VALUE!</v>
      </c>
      <c r="Y117" s="198"/>
      <c r="Z117" s="198" t="str">
        <f>IF(T2,Z108,Z115)</f>
        <v xml:space="preserve">$ 2ND DISBURSEMENT OF TERM1 PARENT PLUS, $ 2ND DISBURSEMENT OF TERM1 GRAD PLUS, $ 2ND DISBURSEMENT OF TERM1 PERKINS, $ 2ND DISBURSEMENT OF SUB1,  2ND DISBURSEMENT OF UNSUB1, </v>
      </c>
      <c r="AA117" s="198"/>
      <c r="AB117" s="212" t="s">
        <v>455</v>
      </c>
      <c r="AC117" s="198" t="b">
        <v>0</v>
      </c>
    </row>
    <row r="118" spans="20:29" x14ac:dyDescent="0.25">
      <c r="T118" s="212" t="s">
        <v>443</v>
      </c>
      <c r="U118" s="212" t="s">
        <v>479</v>
      </c>
      <c r="V118" s="198"/>
      <c r="W118" s="198"/>
      <c r="X118" s="198"/>
      <c r="Y118" s="198"/>
      <c r="Z118" s="198"/>
      <c r="AA118" s="198"/>
      <c r="AB118" s="198"/>
      <c r="AC118" s="198"/>
    </row>
    <row r="119" spans="20:29" x14ac:dyDescent="0.25">
      <c r="T119" s="198" t="str">
        <f>IF(T2,V34&amp;V35&amp;V36&amp;V37&amp;V38&amp;V39&amp;V40&amp;V41&amp;V42,V34&amp;V35&amp;V36&amp;V37&amp;V39&amp;V38&amp;V40&amp;V41&amp;V42)</f>
        <v/>
      </c>
      <c r="U119" s="198" t="str">
        <f>IF(T2,AA48&amp;AA47&amp;AA49&amp;AA50&amp;AA51,AB48&amp;AB47&amp;AB49&amp;AB50&amp;AB51)</f>
        <v/>
      </c>
      <c r="V119" s="198"/>
      <c r="W119" s="198"/>
      <c r="X119" s="198" t="s">
        <v>468</v>
      </c>
      <c r="Y119" s="198"/>
      <c r="Z119" s="212" t="s">
        <v>469</v>
      </c>
      <c r="AA119" s="198"/>
      <c r="AB119" s="150">
        <f>SUM(D17,F17)</f>
        <v>0</v>
      </c>
      <c r="AC119" s="212" t="s">
        <v>475</v>
      </c>
    </row>
    <row r="120" spans="20:29" x14ac:dyDescent="0.25">
      <c r="T120" s="198" t="s">
        <v>416</v>
      </c>
      <c r="U120" s="212" t="s">
        <v>380</v>
      </c>
      <c r="V120" s="198"/>
      <c r="W120" s="198"/>
      <c r="X120" s="150">
        <f>SUM(F5:F7)</f>
        <v>0</v>
      </c>
      <c r="Y120" s="198" t="s">
        <v>470</v>
      </c>
      <c r="Z120" s="291" t="str">
        <f>IF(ISBLANK(F5),"",TEXT(F5,"$#,##0")&amp;" DLST3, ")</f>
        <v/>
      </c>
      <c r="AA120" s="150" t="str">
        <f>Z120&amp;Z121</f>
        <v/>
      </c>
      <c r="AB120" s="150">
        <f>SUM(D16,F16)</f>
        <v>0</v>
      </c>
      <c r="AC120" s="212" t="s">
        <v>476</v>
      </c>
    </row>
    <row r="121" spans="20:29" x14ac:dyDescent="0.25">
      <c r="T121" s="198" t="s">
        <v>379</v>
      </c>
      <c r="U121" s="198"/>
      <c r="V121" s="198"/>
      <c r="W121" s="198"/>
      <c r="X121" s="150">
        <f>SUM(F5,F6)</f>
        <v>0</v>
      </c>
      <c r="Y121" s="198" t="s">
        <v>471</v>
      </c>
      <c r="Z121" s="150" t="str">
        <f>IF(ISBLANK(F6),"",TEXT(F6,"$#,##0")&amp;" DLUST3, ")</f>
        <v/>
      </c>
      <c r="AA121" s="198"/>
      <c r="AB121" s="198"/>
      <c r="AC121" s="198"/>
    </row>
    <row r="122" spans="20:29" x14ac:dyDescent="0.25">
      <c r="T122" s="305" t="s">
        <v>378</v>
      </c>
      <c r="U122" s="430" t="str">
        <f>IF(Z16,"Reviewed Withdrawal case. No R2T4 needed, student did not receive any Title IV Aid for "&amp;D3&amp;" term. CANCELLED "&amp;Z19&amp;Z20&amp;Z21&amp;Z22&amp;Z34&amp;Z35&amp;Z36&amp;Z37,"Reviewed Withdrawal case. No R2T4 needed, student did not receive any Title IV Aid for "&amp;D3&amp;" term.")</f>
        <v>Reviewed Withdrawal case. No R2T4 needed, student did not receive any Title IV Aid for  term.</v>
      </c>
      <c r="V122" s="431"/>
      <c r="W122" s="431"/>
      <c r="X122" s="431"/>
      <c r="Y122" s="431"/>
      <c r="Z122" s="431"/>
      <c r="AA122" s="431"/>
      <c r="AB122" s="431"/>
      <c r="AC122" s="432"/>
    </row>
    <row r="123" spans="20:29" x14ac:dyDescent="0.25">
      <c r="T123" s="305" t="s">
        <v>381</v>
      </c>
      <c r="U123" s="430" t="str">
        <f>IF(SUM(F16:F30)=0,"**Please fill out cancelled amounts**","Reviewed Withdrawal case. No R2T4 needed, student did not complete Verification and is not eligible for funds. CANCELLED "&amp;LEFT(T119,LEN(T119)-2)&amp;".")</f>
        <v>**Please fill out cancelled amounts**</v>
      </c>
      <c r="V123" s="431"/>
      <c r="W123" s="431"/>
      <c r="X123" s="431"/>
      <c r="Y123" s="431"/>
      <c r="Z123" s="431"/>
      <c r="AA123" s="431"/>
      <c r="AB123" s="431"/>
      <c r="AC123" s="432"/>
    </row>
    <row r="124" spans="20:29" x14ac:dyDescent="0.25">
      <c r="T124" s="305" t="s">
        <v>438</v>
      </c>
      <c r="U124" s="430" t="s">
        <v>439</v>
      </c>
      <c r="V124" s="431"/>
      <c r="W124" s="431"/>
      <c r="X124" s="431"/>
      <c r="Y124" s="431"/>
      <c r="Z124" s="431"/>
      <c r="AA124" s="431"/>
      <c r="AB124" s="431"/>
      <c r="AC124" s="432"/>
    </row>
    <row r="125" spans="20:29" x14ac:dyDescent="0.25">
      <c r="T125" s="313" t="s">
        <v>463</v>
      </c>
      <c r="U125" s="222" t="str">
        <f>IF(X120=0,"Please enter LDA, DL3 Funds and Certified Date.",IF(ISBLANK(D4),"Please enter LDA","Student not eligible for "&amp;LEFT(AA120,LEN(AA120)-2)&amp;" funds since they were certified on "&amp;TEXT(F7,"MM/DD/YYYY")&amp;", loans must have been originated prior to the student ceasing attendance, LDA "&amp;TEXT(D4,"MM/DD/YYYY")&amp;". CANCELLED GROSS  "&amp;LEFT(AA120,LEN(AA120)-2)&amp;" loan funds for the tuition increase for Term2."))</f>
        <v>Please enter LDA, DL3 Funds and Certified Date.</v>
      </c>
      <c r="V125" s="293"/>
      <c r="W125" s="293"/>
      <c r="X125" s="293"/>
      <c r="Y125" s="293"/>
      <c r="Z125" s="293"/>
      <c r="AA125" s="293"/>
      <c r="AB125" s="293"/>
      <c r="AC125" s="314"/>
    </row>
    <row r="126" spans="20:29" ht="15.75" customHeight="1" x14ac:dyDescent="0.25">
      <c r="T126" s="305" t="s">
        <v>464</v>
      </c>
      <c r="U126" s="293" t="str">
        <f>IF(X121=0,"Please enter DL3 Funds.","Cancelled DL3 funds since they were awarded due to tuition increase, NOT INCLUDED IN R2T4 CALCULATION. CANCELLED GROSS "&amp;LEFT(AA120,LEN(AA120)-2)&amp;" FUNDS SINCE INTENDED FOR TUITION INCREASE FOR TERM2.")</f>
        <v>Please enter DL3 Funds.</v>
      </c>
      <c r="V126" s="293"/>
      <c r="W126" s="293"/>
      <c r="X126" s="293"/>
      <c r="Y126" s="293"/>
      <c r="Z126" s="293"/>
      <c r="AA126" s="293"/>
      <c r="AB126" s="293"/>
      <c r="AC126" s="314"/>
    </row>
    <row r="127" spans="20:29" x14ac:dyDescent="0.25">
      <c r="T127" s="310" t="s">
        <v>488</v>
      </c>
      <c r="U127" s="310" t="str">
        <f>IF(AB30=0,"Empty","RETURN TO TITLE IV, WITHDRAWAL "&amp;TEXT(D5,"MM/DD/YYYY")&amp;", LAST DATE OF ATTENDANCE "&amp;TEXT(D4,"MM/DD/YYY")&amp;", REVIEW COMPLETE, "&amp;"TERM2 "&amp;TEXT(PercentComplete,"0.0%")&amp;" EARNED, CALCULATION COMPLETED USED NET "&amp;LEFT(AA120,LEN(AA120)-2)&amp;" "&amp;"TERM2"&amp;"  AS FUNDS THAT COULD HAVE BEEN DISBURSED, "&amp;IF(U85=0,"NO POST WITHDRAWAL DISBURSEMENT RESULTED, ","RESULTED IN POST WITHDRAWAL DISBURSEMENT OF NET "&amp;AA120&amp;" ")&amp;IF(U85=0,", STUDENT INELIGIBLE FOR DL3 FUNDS DUE TO ADDLOAN REQUIREMENT NOT BEING SATISFIED, ","STUDENT INELIGIBLE FOR POST WITHDRAWAL DISBURSEMENT DUE TO 2ND DISBURSEMENT OF LOAN PERIOD, ")&amp;"NO RETURN, CANCELLED GROSS "&amp;AA120&amp;T119&amp;" EXIT NOTIFICATION EMAIL SENT "&amp;TEXT(D7,"MM/DD/YYYY")&amp;". SENT OUT REFUND CANCELLATION EMAIL.")</f>
        <v>Empty</v>
      </c>
      <c r="V127" s="310"/>
      <c r="W127" s="310"/>
      <c r="X127" s="310"/>
      <c r="Y127" s="310"/>
      <c r="Z127" s="310"/>
      <c r="AA127" s="310"/>
      <c r="AB127" s="310"/>
      <c r="AC127" s="310"/>
    </row>
    <row r="128" spans="20:29" x14ac:dyDescent="0.25">
      <c r="T128" s="305" t="s">
        <v>445</v>
      </c>
      <c r="U128" s="293" t="str">
        <f>IF(U30&lt;=0,"Empty",U100&amp;X15&amp;Y15&amp;"RETURN TO TITLE IV, WITHDRAWAL "&amp;TEXT(D5,"MM/DD/YYYY")&amp;", LAST DATE OF ATTENDANCE "&amp;TEXT(D4,"MM/DD/YYYY")&amp;" REVIEW COMPLETED, "&amp;T11&amp;IF(ISBLANK(D7)," NO EXIT NOTIFICATION NEEDED, NO LOAN HISTORY."," EXIT NOTIFICATION EMAIL SENT "&amp;TEXT(D7,"MM/DD/YYYY")&amp;", ")&amp;IF(X14,X16," SENT OUT REFUND CANCELLATION EMAIL."))</f>
        <v>Empty</v>
      </c>
      <c r="V128" s="293"/>
      <c r="W128" s="293"/>
      <c r="X128" s="293"/>
      <c r="Y128" s="293"/>
      <c r="Z128" s="293"/>
      <c r="AA128" s="293"/>
      <c r="AB128" s="293"/>
      <c r="AC128" s="314"/>
    </row>
    <row r="129" spans="20:29" x14ac:dyDescent="0.25">
      <c r="T129" s="315" t="s">
        <v>472</v>
      </c>
      <c r="U129" s="296" t="str">
        <f>IF(U30&lt;=0,"Empty",U100&amp;"RETURN TO TITLE IV, WITHDRAWAL "&amp;TEXT(D5,"MM/DD/YYYY")&amp;", LAST DATE OF ATTENDANCE "&amp;TEXT(D4,"MM/DD/YYYY")&amp;" REVIEW COMPLETED, "&amp;T11&amp;IF(ISBLANK(D7)," NO EXIT NOTIFICATION NEEDED, NO LOAN HISTORY."," EXIT NOTIFICATION EMAIL SENT "&amp;TEXT(D7,"MM/DD/YYYY")&amp;", ")&amp;IF(X14,X16," SENT OUT REFUND CANCELLATION EMAIL."))</f>
        <v>Empty</v>
      </c>
      <c r="V129" s="296"/>
      <c r="W129" s="296"/>
      <c r="X129" s="296"/>
      <c r="Y129" s="296"/>
      <c r="Z129" s="296"/>
      <c r="AA129" s="296"/>
      <c r="AB129" s="296"/>
      <c r="AC129" s="316"/>
    </row>
    <row r="130" spans="20:29" x14ac:dyDescent="0.25">
      <c r="T130" s="315" t="s">
        <v>473</v>
      </c>
      <c r="U130" s="296" t="str">
        <f>IF(U30&lt;=0,"Empty",U100&amp;X15&amp;Y15&amp;"UPDATED RETURN TO TITLE IV, WITHDRAWAL "&amp;TEXT(D5,"MM/DD/YYYY")&amp;", LAST DATE OF ATTENDANCE "&amp;TEXT(D4,"MM/DD/YYYY")&amp;" REVIEW COMPLETED, "&amp;T11&amp;IF(ISBLANK(D7)," NO EXIT NOTIFICATION NEEDED, NO LOAN HISTORY."," EXIT NOTIFICATION EMAIL SENT "&amp;TEXT(D7,"MM/DD/YYYY")&amp;", ")&amp;IF(X14,X16," SENT OUT REFUND CANCELLATION EMAIL."))</f>
        <v>Empty</v>
      </c>
      <c r="V130" s="293"/>
      <c r="W130" s="293"/>
      <c r="X130" s="293"/>
      <c r="Y130" s="293"/>
      <c r="Z130" s="293"/>
      <c r="AA130" s="293"/>
      <c r="AB130" s="293"/>
      <c r="AC130" s="314"/>
    </row>
    <row r="131" spans="20:29" x14ac:dyDescent="0.25">
      <c r="T131" s="315" t="s">
        <v>465</v>
      </c>
      <c r="U131" s="296" t="str">
        <f>IF(U30&lt;=0,"Empty",U100&amp;X15&amp;Y15&amp;"RETURN TO TITLE IV, WITHDRAWAL "&amp;TEXT(D5,"MM/DD/YYYY")&amp;", LAST DATE OF ATTENDANCE "&amp;TEXT(D4,"MM/DD/YYYY")&amp;" REVIEW COMPLETED, "&amp;T11&amp;IF(ISBLANK(D7)," NO EXIT NOTIFICATION NEEDED, NO LOAN HISTORY."," EXIT NOTIFICATION EMAIL SENT "&amp;TEXT(D7,"MM/DD/YYYY")&amp;", ")&amp;"NO REFUND CANCELLATION EMAIL SENT.")</f>
        <v>Empty</v>
      </c>
      <c r="V131" s="198"/>
      <c r="W131" s="198"/>
      <c r="X131" s="198"/>
      <c r="Y131" s="198"/>
      <c r="Z131" s="198"/>
      <c r="AA131" s="198"/>
      <c r="AB131" s="198"/>
      <c r="AC131" s="198"/>
    </row>
    <row r="132" spans="20:29" x14ac:dyDescent="0.25">
      <c r="T132" s="305" t="s">
        <v>474</v>
      </c>
      <c r="U132" s="293" t="str">
        <f>IF(U30&lt;=0,"Empty",Y15&amp;"RETURN TO TITLE IV, WITHDRAWAL "&amp;TEXT(D5,"MM/DD/YYYY")&amp;", LAST DATE OF ATTENDANCE "&amp;TEXT(D4,"MM/DD/YYYY")&amp;" REVIEW COMPLETED, "&amp;T11&amp;IF(ISBLANK(D7)," NO EXIT NOTIFICATION NEEDED, NO LOAN HISTORY."," EXIT NOTIFICATION EMAIL SENT "&amp;TEXT(D7,"MM/DD/YYYY")&amp;" SENT OUT REFUND CANCELLATION EMAIL."))</f>
        <v>Empty</v>
      </c>
      <c r="V132" s="293"/>
      <c r="W132" s="293"/>
      <c r="X132" s="293"/>
      <c r="Y132" s="293"/>
      <c r="Z132" s="293"/>
      <c r="AA132" s="293"/>
      <c r="AB132" s="293"/>
      <c r="AC132" s="314"/>
    </row>
    <row r="133" spans="20:29" x14ac:dyDescent="0.25">
      <c r="T133" s="305" t="s">
        <v>201</v>
      </c>
      <c r="U133" s="293" t="str">
        <f>IF(ISBLANK(D4),IF(ISBLANK(F7),"Please enter LDA and Award Date.","Please enter LDA."),"Student not eligible for FSEOG since it was awarded on "&amp;TEXT(F7,"MM/DD/YYYY")&amp;" after LDA "&amp;TEXT(D4,"MM/DD/YYYY")&amp;". "&amp;IF(D13&gt;0,"RETURNED "&amp;TEXT(D13,"$#,##0")&amp;" "&amp;U12&amp;" FSEOG.","")&amp;IF(F13&gt;0," CANCELLED "&amp;TEXT(F13,"$#,##0")&amp;" "&amp;U12&amp;" FSEOG.",""))</f>
        <v>Please enter LDA and Award Date.</v>
      </c>
      <c r="V133" s="293"/>
      <c r="W133" s="293"/>
      <c r="X133" s="293"/>
      <c r="Y133" s="293"/>
      <c r="Z133" s="293"/>
      <c r="AA133" s="293"/>
      <c r="AB133" s="293"/>
      <c r="AC133" s="314"/>
    </row>
    <row r="134" spans="20:29" x14ac:dyDescent="0.25">
      <c r="T134" s="305" t="s">
        <v>477</v>
      </c>
      <c r="U134" s="293" t="str">
        <f>IF(ISBLANK(D4),IF(ISBLANK(F7),"Please enter LDA, Certified Date and funds awarded.","Please enter LDA, Certified Date and funds awarded."),IF(ISBLANK(F7),"Please enter LDA, Certified Date and funds awarded.","Student not eligible for "&amp;IF(AB119&gt;0,"Sub "&amp;IF(AB120&gt;0,"and Unsub ",""),"Unsub ")&amp;"loans since they were certified on "&amp;TEXT(F7,"MM/DD/YYYY")&amp;", loans must have been originated prior to the student ceasing attendance, LDA "&amp;TEXT(D4,"MM/DD/YYYY")&amp;". "&amp;IF(SUM(D16:D20)&gt;0,"RETURNED NET "&amp;IF(T2,AA48&amp;AA47&amp;AA49&amp;AA50&amp;AA51,AB48&amp;AB47&amp;AB49&amp;AB50&amp;AB51)&amp;" ","")&amp;IF(SUM(F16:F20)=0,IF(AC97,"CANCELLED GROSS "&amp;V34&amp;V35&amp;V36&amp;V37&amp;V38&amp;V39&amp;V40&amp;V41&amp;V42,"NO CANCEL."),"CANCELLED GROSS "&amp;LEFT(V34&amp;V35&amp;V36&amp;V37&amp;V38&amp;V39&amp;V40&amp;V41&amp;V42,LEN(V34&amp;V35&amp;V36&amp;V37&amp;V38&amp;V39&amp;V40&amp;V41&amp;V42)-2)&amp;". ")))</f>
        <v>Please enter LDA, Certified Date and funds awarded.</v>
      </c>
      <c r="V134" s="293"/>
      <c r="W134" s="293"/>
      <c r="X134" s="293"/>
      <c r="Y134" s="293"/>
      <c r="Z134" s="293"/>
      <c r="AA134" s="293"/>
      <c r="AB134" s="293"/>
      <c r="AC134" s="314"/>
    </row>
    <row r="135" spans="20:29" x14ac:dyDescent="0.25">
      <c r="T135" s="313" t="s">
        <v>478</v>
      </c>
      <c r="U135" s="311" t="str">
        <f>IF(Z31=0,"Please enter cancelled amounts and expired date if applicable","Student not eligible for "&amp;IF(AB119&gt;0,"Sub "&amp;IF(AB120&gt;0,"and Unsub ",""),"Unsub ")&amp;" loans since MPN "&amp;IF(ISBLANK(F7),"not completed "," expired on "&amp;TEXT(F7,"MM/DD/YYYY")&amp;". ")&amp;"CANCELLED GROSS "&amp;LEFT(T119,LEN(T119)-2)&amp;". ")</f>
        <v>Please enter cancelled amounts and expired date if applicable</v>
      </c>
      <c r="V135" s="293"/>
      <c r="W135" s="293"/>
      <c r="X135" s="293"/>
      <c r="Y135" s="293"/>
      <c r="Z135" s="293"/>
      <c r="AA135" s="293"/>
      <c r="AB135" s="293"/>
      <c r="AC135" s="314"/>
    </row>
    <row r="136" spans="20:29" x14ac:dyDescent="0.25">
      <c r="T136" s="223" t="s">
        <v>484</v>
      </c>
      <c r="U136" s="304" t="str">
        <f>IF(U27&lt;=0,"Empty",U97&amp;X12&amp;Y12&amp;"RETURN TO TITLE IV, WITHDRAWAL "&amp;TEXT(D2,"MM/DD/YYYY")&amp;", LAST DATE OF ATTENDANCE "&amp;TEXT(D1,"MM/DD/YYYY")&amp;" REVIEW COMPLETED, "&amp;T8&amp;IF(ISBLANK(D4)," NO EXIT NOTIFICATION NEEDED, NO LOAN HISTORY."," EXIT NOTIFICATION EMAIL SENT "&amp;TEXT(D4,"MM/DD/YYYY")&amp;", ")&amp;"NO REFUND CANCELLATION EMAIL SENT.")</f>
        <v>Empty</v>
      </c>
      <c r="V136" s="293"/>
      <c r="W136" s="293"/>
      <c r="X136" s="293"/>
      <c r="Y136" s="293"/>
      <c r="Z136" s="293"/>
      <c r="AA136" s="293"/>
      <c r="AB136" s="293"/>
      <c r="AC136" s="314"/>
    </row>
    <row r="137" spans="20:29" x14ac:dyDescent="0.25">
      <c r="T137" s="305" t="s">
        <v>485</v>
      </c>
      <c r="U137" s="293" t="str">
        <f>IF(SUM(AB120,AB119)&gt;0,IF(ISBLANK(F7),"Please enter Offer Sent date and Returned or Cancelled amounts.",IF(SUM(D16:D21,F16:F21)=0,"Please enter Returned or Cancelled amounts",IF(SUM(D16:D21)&gt;0,"RETURNED NET "&amp;AA47&amp;AA48&amp;AA49&amp;AA50&amp;AA51,"CANCELLED GROSS "&amp;V38&amp;V39&amp;V40&amp;V41&amp;V42)&amp;" DUE TO NO RESPONSE TO POST WITHDRAWAL OFFER SENT "&amp;TEXT(F7,"MM/DD/YYYY")&amp;" BY THE DUE DATE OF "&amp;TEXT(F7+14,"MM/DD/YYYY")&amp;". SENT UPDATED REFUND CANCELLATION NOTIFICATION.")),"Please enter Offer Sent date and Returned or Cancelled amounts.")</f>
        <v>Please enter Offer Sent date and Returned or Cancelled amounts.</v>
      </c>
      <c r="V137" s="293"/>
      <c r="W137" s="293"/>
      <c r="X137" s="293"/>
      <c r="Y137" s="293"/>
      <c r="Z137" s="293"/>
      <c r="AA137" s="293"/>
      <c r="AB137" s="293"/>
      <c r="AC137" s="314"/>
    </row>
    <row r="138" spans="20:29" x14ac:dyDescent="0.25">
      <c r="T138" s="315" t="s">
        <v>486</v>
      </c>
      <c r="U138" s="296" t="str">
        <f>IF(SUM(D17:D21)=0,"Please enter net PWD offer amounts in the Disbursed column.","RECEIVED SIGNED POST WITHDRAWAL OFFER OF NET "&amp;U120&amp;" SENT REQUEST TO POST NET "&amp;LEFT(U120,LEN(U120)-1)&amp;".")</f>
        <v>Please enter net PWD offer amounts in the Disbursed column.</v>
      </c>
      <c r="V138" s="296"/>
      <c r="W138" s="296"/>
      <c r="X138" s="296"/>
      <c r="Y138" s="296"/>
      <c r="Z138" s="296"/>
      <c r="AA138" s="296"/>
      <c r="AB138" s="296"/>
      <c r="AC138" s="316"/>
    </row>
    <row r="139" spans="20:29" x14ac:dyDescent="0.25">
      <c r="T139" s="305" t="s">
        <v>487</v>
      </c>
      <c r="U139" s="293" t="str">
        <f>IF(SUM(D17:D21)=0,"Please enter net PWD offer amounts in the Disbursed column.","RECEIVED SIGNED POST WITHDRAWAL OFFER OF NET "&amp;U120&amp;" POST WITHDRAWAL OFFER ALREADY DISBURSED.")</f>
        <v>Please enter net PWD offer amounts in the Disbursed column.</v>
      </c>
      <c r="V139" s="293"/>
      <c r="W139" s="293"/>
      <c r="X139" s="293"/>
      <c r="Y139" s="293"/>
      <c r="Z139" s="293"/>
      <c r="AA139" s="293"/>
      <c r="AB139" s="293"/>
      <c r="AC139" s="314"/>
    </row>
    <row r="140" spans="20:29" x14ac:dyDescent="0.25">
      <c r="T140" s="305" t="s">
        <v>440</v>
      </c>
      <c r="U140" s="293" t="s">
        <v>441</v>
      </c>
      <c r="V140" s="293"/>
      <c r="W140" s="293"/>
      <c r="X140" s="293"/>
      <c r="Y140" s="293"/>
      <c r="Z140" s="293"/>
      <c r="AA140" s="293"/>
      <c r="AB140" s="293"/>
      <c r="AC140" s="314"/>
    </row>
    <row r="141" spans="20:29" x14ac:dyDescent="0.25">
      <c r="T141" s="305" t="s">
        <v>483</v>
      </c>
      <c r="U141" s="293" t="str">
        <f>IF(ISBLANK(F7),"Please enter Sent Date.","On "&amp;TEXT(F7,"MM/DD/YYYY")&amp;" you were sent a Refund/Cancellation Notice. The information contained therein was incorrect. Please disregard the previous e-mail and instead refer to this corrected document for your records. We apologize for any inconvenience this may have caused you.")</f>
        <v>Please enter Sent Date.</v>
      </c>
      <c r="V141" s="293"/>
      <c r="W141" s="293"/>
      <c r="X141" s="293"/>
      <c r="Y141" s="293"/>
      <c r="Z141" s="293"/>
      <c r="AA141" s="293"/>
      <c r="AB141" s="293"/>
      <c r="AC141" s="314"/>
    </row>
    <row r="142" spans="20:29" x14ac:dyDescent="0.25">
      <c r="T142" s="212" t="s">
        <v>609</v>
      </c>
      <c r="Y142" s="212" t="s">
        <v>616</v>
      </c>
    </row>
    <row r="143" spans="20:29" x14ac:dyDescent="0.25">
      <c r="T143" s="169" t="s">
        <v>492</v>
      </c>
      <c r="U143" s="169" t="s">
        <v>534</v>
      </c>
      <c r="V143" s="169"/>
      <c r="W143" s="169" t="s">
        <v>492</v>
      </c>
      <c r="X143" s="169" t="s">
        <v>549</v>
      </c>
      <c r="Y143" s="169" t="s">
        <v>615</v>
      </c>
      <c r="Z143" s="169" t="s">
        <v>492</v>
      </c>
      <c r="AA143" s="169" t="s">
        <v>550</v>
      </c>
    </row>
    <row r="144" spans="20:29" x14ac:dyDescent="0.25">
      <c r="T144" s="257" t="s">
        <v>491</v>
      </c>
      <c r="U144" s="222" t="s">
        <v>608</v>
      </c>
      <c r="V144" s="198"/>
      <c r="W144" s="300" t="str">
        <f>T144</f>
        <v>21CENT (Indiana 21st Century Scholarship)</v>
      </c>
      <c r="X144" s="81" t="e" cm="1">
        <f t="array" aca="1" ref="X144" ca="1">IF('Page 1'!$C$56&lt;28,INDIRECT(Y144),IF([0]!PercentComplete&gt;60%,0,IF(ISBLANK($E$22),"",IF($E$22&gt;INDIRECT(Y144),0,INDIRECT(Y144)-$E$22))))</f>
        <v>#VALUE!</v>
      </c>
      <c r="Y144" s="81" t="e">
        <f>"E"&amp;(MATCH(W144,$C$1:$C$27,0))</f>
        <v>#N/A</v>
      </c>
      <c r="Z144" s="300" t="str">
        <f>T144</f>
        <v>21CENT (Indiana 21st Century Scholarship)</v>
      </c>
      <c r="AA144" s="329"/>
    </row>
    <row r="145" spans="14:27" x14ac:dyDescent="0.25">
      <c r="T145" s="328" t="s">
        <v>493</v>
      </c>
      <c r="U145" s="222" t="s">
        <v>553</v>
      </c>
      <c r="V145" s="198"/>
      <c r="W145" s="300" t="str">
        <f>T145</f>
        <v>AZLEAP (Arizona Leap)</v>
      </c>
      <c r="X145" s="81" t="e">
        <f t="shared" ref="X145:X150" ca="1" si="5">IF(PercentComplete&gt;60%,0,SUM(PRODUCT(INDIRECT(Y145),-PercentComplete),INDIRECT(Y145)))</f>
        <v>#VALUE!</v>
      </c>
      <c r="Y145" s="198" t="e">
        <f>"E"&amp;(MATCH(W145,$C$1:$C$27,0))</f>
        <v>#N/A</v>
      </c>
      <c r="Z145" s="300" t="str">
        <f t="shared" ref="Z145:Z199" si="6">T145</f>
        <v>AZLEAP (Arizona Leap)</v>
      </c>
      <c r="AA145" s="329"/>
    </row>
    <row r="146" spans="14:27" x14ac:dyDescent="0.25">
      <c r="T146" s="257" t="s">
        <v>495</v>
      </c>
      <c r="U146" s="222" t="s">
        <v>554</v>
      </c>
      <c r="V146" s="198"/>
      <c r="W146" s="300" t="str">
        <f t="shared" ref="W146:W199" si="7">T146</f>
        <v>COFS (Choose Ohio First Scholarship)</v>
      </c>
      <c r="X146" s="198" t="e">
        <f t="shared" ca="1" si="5"/>
        <v>#VALUE!</v>
      </c>
      <c r="Y146" s="198" t="e">
        <f t="shared" ref="Y146:Y198" si="8">"E"&amp;(MATCH(W146,$C$1:$C$27,0))</f>
        <v>#N/A</v>
      </c>
      <c r="Z146" s="300" t="str">
        <f t="shared" si="6"/>
        <v>COFS (Choose Ohio First Scholarship)</v>
      </c>
      <c r="AA146" s="329"/>
    </row>
    <row r="147" spans="14:27" x14ac:dyDescent="0.25">
      <c r="T147" s="257" t="s">
        <v>496</v>
      </c>
      <c r="U147" s="222" t="s">
        <v>555</v>
      </c>
      <c r="V147" s="198"/>
      <c r="W147" s="300" t="str">
        <f t="shared" si="7"/>
        <v>IDGEAR (Idaho GEAR UP)</v>
      </c>
      <c r="X147" s="198" t="e">
        <f t="shared" ca="1" si="5"/>
        <v>#VALUE!</v>
      </c>
      <c r="Y147" s="198" t="e">
        <f t="shared" si="8"/>
        <v>#N/A</v>
      </c>
      <c r="Z147" s="300" t="str">
        <f t="shared" si="6"/>
        <v>IDGEAR (Idaho GEAR UP)</v>
      </c>
      <c r="AA147" s="329"/>
    </row>
    <row r="148" spans="14:27" x14ac:dyDescent="0.25">
      <c r="T148" s="257" t="s">
        <v>497</v>
      </c>
      <c r="U148" s="222" t="s">
        <v>556</v>
      </c>
      <c r="V148" s="198"/>
      <c r="W148" s="300" t="str">
        <f t="shared" si="7"/>
        <v>IDOPAL (Idaho Opportunity Scholarship Adult Learners)</v>
      </c>
      <c r="X148" s="198" t="e">
        <f t="shared" ca="1" si="5"/>
        <v>#VALUE!</v>
      </c>
      <c r="Y148" s="198" t="e">
        <f t="shared" si="8"/>
        <v>#N/A</v>
      </c>
      <c r="Z148" s="300" t="str">
        <f t="shared" si="6"/>
        <v>IDOPAL (Idaho Opportunity Scholarship Adult Learners)</v>
      </c>
      <c r="AA148" s="329"/>
    </row>
    <row r="149" spans="14:27" x14ac:dyDescent="0.25">
      <c r="T149" s="257" t="s">
        <v>498</v>
      </c>
      <c r="U149" s="222" t="s">
        <v>557</v>
      </c>
      <c r="V149" s="198"/>
      <c r="W149" s="300" t="str">
        <f t="shared" si="7"/>
        <v>IDOPPS (Idaho Opportunity Scholarship)</v>
      </c>
      <c r="X149" s="198" t="e">
        <f t="shared" ca="1" si="5"/>
        <v>#VALUE!</v>
      </c>
      <c r="Y149" s="198" t="e">
        <f t="shared" si="8"/>
        <v>#N/A</v>
      </c>
      <c r="Z149" s="300" t="str">
        <f t="shared" si="6"/>
        <v>IDOPPS (Idaho Opportunity Scholarship)</v>
      </c>
      <c r="AA149" s="329"/>
    </row>
    <row r="150" spans="14:27" x14ac:dyDescent="0.25">
      <c r="N150" s="336"/>
      <c r="T150" s="257" t="s">
        <v>499</v>
      </c>
      <c r="U150" s="222" t="s">
        <v>558</v>
      </c>
      <c r="V150" s="198"/>
      <c r="W150" s="300" t="str">
        <f t="shared" si="7"/>
        <v>IDPOST (Idaho Postsecondary Credit Scholarship)</v>
      </c>
      <c r="X150" s="198" t="e">
        <f t="shared" ca="1" si="5"/>
        <v>#VALUE!</v>
      </c>
      <c r="Y150" s="198" t="e">
        <f t="shared" si="8"/>
        <v>#N/A</v>
      </c>
      <c r="Z150" s="300" t="str">
        <f t="shared" si="6"/>
        <v>IDPOST (Idaho Postsecondary Credit Scholarship)</v>
      </c>
      <c r="AA150" s="329"/>
    </row>
    <row r="151" spans="14:27" x14ac:dyDescent="0.25">
      <c r="T151" s="257" t="s">
        <v>500</v>
      </c>
      <c r="U151" s="222" t="s">
        <v>559</v>
      </c>
      <c r="V151" s="198"/>
      <c r="W151" s="300" t="str">
        <f t="shared" si="7"/>
        <v>INMILT (Indiana Military Grant - CVO)</v>
      </c>
      <c r="X151" s="198" t="e" cm="1">
        <f t="array" aca="1" ref="X151" ca="1">IF('Page 1'!$C$56&lt;28,INDIRECT(Y151),IF([0]!PercentComplete&gt;60%,0,IF(ISBLANK($E$22),"",IF($E$22&gt;INDIRECT(Y151),0,INDIRECT(Y151)-$E$22))))</f>
        <v>#VALUE!</v>
      </c>
      <c r="Y151" s="198" t="e">
        <f t="shared" si="8"/>
        <v>#N/A</v>
      </c>
      <c r="Z151" s="300" t="str">
        <f t="shared" si="6"/>
        <v>INMILT (Indiana Military Grant - CVO)</v>
      </c>
      <c r="AA151" s="329"/>
    </row>
    <row r="152" spans="14:27" x14ac:dyDescent="0.25">
      <c r="T152" s="257" t="s">
        <v>501</v>
      </c>
      <c r="U152" s="222" t="s">
        <v>560</v>
      </c>
      <c r="V152" s="198"/>
      <c r="W152" s="300" t="str">
        <f t="shared" si="7"/>
        <v>INMINT (Indiana Minority Teachers Scholarship)</v>
      </c>
      <c r="X152" s="198" t="e" cm="1">
        <f t="array" aca="1" ref="X152" ca="1">IF('Page 1'!$C$56&lt;28,INDIRECT(Y152),IF([0]!PercentComplete&gt;60%,0,IF(ISBLANK($E$22),"",IF($E$22&gt;INDIRECT(Y152),0,INDIRECT(Y152)-$E$22))))</f>
        <v>#VALUE!</v>
      </c>
      <c r="Y152" s="198" t="e">
        <f t="shared" si="8"/>
        <v>#N/A</v>
      </c>
      <c r="Z152" s="300" t="str">
        <f t="shared" si="6"/>
        <v>INMINT (Indiana Minority Teachers Scholarship)</v>
      </c>
      <c r="AA152" s="329"/>
    </row>
    <row r="153" spans="14:27" x14ac:dyDescent="0.25">
      <c r="T153" s="257" t="s">
        <v>502</v>
      </c>
      <c r="U153" s="222" t="s">
        <v>561</v>
      </c>
      <c r="V153" s="198"/>
      <c r="W153" s="300" t="str">
        <f t="shared" si="7"/>
        <v>INPART (Indiana Adult Student Grant)</v>
      </c>
      <c r="X153" s="198" t="e" cm="1">
        <f t="array" aca="1" ref="X153" ca="1">IF('Page 1'!$C$56&lt;28,INDIRECT(Y153),IF([0]!PercentComplete&gt;60%,0,IF(ISBLANK($E$22),"",IF($E$22&gt;INDIRECT(Y153),0,INDIRECT(Y153)-$E$22))))</f>
        <v>#VALUE!</v>
      </c>
      <c r="Y153" s="198" t="e">
        <f t="shared" si="8"/>
        <v>#N/A</v>
      </c>
      <c r="Z153" s="300" t="str">
        <f t="shared" si="6"/>
        <v>INPART (Indiana Adult Student Grant)</v>
      </c>
      <c r="AA153" s="329"/>
    </row>
    <row r="154" spans="14:27" x14ac:dyDescent="0.25">
      <c r="T154" s="257" t="s">
        <v>503</v>
      </c>
      <c r="U154" s="222" t="s">
        <v>562</v>
      </c>
      <c r="V154" s="198"/>
      <c r="W154" s="300" t="str">
        <f t="shared" si="7"/>
        <v>INROTC (Indiana ROTC Grant)</v>
      </c>
      <c r="X154" s="198" t="e" cm="1">
        <f t="array" aca="1" ref="X154" ca="1">IF('Page 1'!$C$56&lt;28,INDIRECT(Y154),IF([0]!PercentComplete&gt;60%,0,IF(ISBLANK($E$22),"",IF($E$22&gt;INDIRECT(Y154),0,INDIRECT(Y154)-$E$22))))</f>
        <v>#VALUE!</v>
      </c>
      <c r="Y154" s="198" t="e">
        <f t="shared" si="8"/>
        <v>#N/A</v>
      </c>
      <c r="Z154" s="300" t="str">
        <f t="shared" si="6"/>
        <v>INROTC (Indiana ROTC Grant)</v>
      </c>
      <c r="AA154" s="329"/>
    </row>
    <row r="155" spans="14:27" x14ac:dyDescent="0.25">
      <c r="T155" s="257" t="s">
        <v>504</v>
      </c>
      <c r="U155" s="222" t="s">
        <v>563</v>
      </c>
      <c r="V155" s="198"/>
      <c r="W155" s="300" t="str">
        <f t="shared" si="7"/>
        <v>KCSCHA (Kansas City Scholars Scholarship)</v>
      </c>
      <c r="X155" s="81" t="e" cm="1">
        <f t="array" aca="1" ref="X155" ca="1">IF(E22&gt;INDIRECT(Y155),0,INDIRECT(Y155)-E22)</f>
        <v>#N/A</v>
      </c>
      <c r="Y155" s="198" t="e">
        <f t="shared" si="8"/>
        <v>#N/A</v>
      </c>
      <c r="Z155" s="300" t="str">
        <f t="shared" si="6"/>
        <v>KCSCHA (Kansas City Scholars Scholarship)</v>
      </c>
      <c r="AA155" s="329"/>
    </row>
    <row r="156" spans="14:27" x14ac:dyDescent="0.25">
      <c r="T156" s="257" t="s">
        <v>505</v>
      </c>
      <c r="U156" s="222" t="s">
        <v>564</v>
      </c>
      <c r="V156" s="198"/>
      <c r="W156" s="300" t="str">
        <f t="shared" si="7"/>
        <v>MITCHD (Indiana Mitch Daniels Scholarship)</v>
      </c>
      <c r="X156" s="81" t="str">
        <f>""</f>
        <v/>
      </c>
      <c r="Y156" s="198" t="e">
        <f t="shared" si="8"/>
        <v>#N/A</v>
      </c>
      <c r="Z156" s="300" t="str">
        <f t="shared" si="6"/>
        <v>MITCHD (Indiana Mitch Daniels Scholarship)</v>
      </c>
      <c r="AA156" s="329"/>
    </row>
    <row r="157" spans="14:27" x14ac:dyDescent="0.25">
      <c r="T157" s="257" t="s">
        <v>506</v>
      </c>
      <c r="U157" s="222" t="s">
        <v>565</v>
      </c>
      <c r="V157" s="198"/>
      <c r="W157" s="300" t="str">
        <f t="shared" si="7"/>
        <v>MOFAST (Missouri Fast Track Workforce Incentive Grant)</v>
      </c>
      <c r="X157" s="81" t="str">
        <f>""</f>
        <v/>
      </c>
      <c r="Y157" s="198" t="e">
        <f t="shared" si="8"/>
        <v>#N/A</v>
      </c>
      <c r="Z157" s="300" t="str">
        <f t="shared" si="6"/>
        <v>MOFAST (Missouri Fast Track Workforce Incentive Grant)</v>
      </c>
      <c r="AA157" s="329"/>
    </row>
    <row r="158" spans="14:27" x14ac:dyDescent="0.25">
      <c r="T158" s="257" t="s">
        <v>507</v>
      </c>
      <c r="U158" s="222" t="s">
        <v>566</v>
      </c>
      <c r="V158" s="198"/>
      <c r="W158" s="300" t="str">
        <f t="shared" si="7"/>
        <v>MOGRNT (Access Missouri Grant)</v>
      </c>
      <c r="X158" s="198" t="e">
        <f ca="1">IF(PercentComplete&gt;60%,0,SUM(PRODUCT(INDIRECT(Y158),-PercentComplete),INDIRECT(Y158)))</f>
        <v>#VALUE!</v>
      </c>
      <c r="Y158" s="198" t="e">
        <f t="shared" si="8"/>
        <v>#N/A</v>
      </c>
      <c r="Z158" s="300" t="str">
        <f t="shared" si="6"/>
        <v>MOGRNT (Access Missouri Grant)</v>
      </c>
      <c r="AA158" s="329"/>
    </row>
    <row r="159" spans="14:27" x14ac:dyDescent="0.25">
      <c r="T159" s="257" t="s">
        <v>508</v>
      </c>
      <c r="U159" s="222" t="s">
        <v>567</v>
      </c>
      <c r="V159" s="198"/>
      <c r="W159" s="300" t="str">
        <f t="shared" si="7"/>
        <v>NCTAP (North Carolina Tuition Assistance)</v>
      </c>
      <c r="X159" s="198" t="e" cm="1">
        <f t="array" aca="1" ref="X159" ca="1">IF('Page 1'!$C$56&lt;28,INDIRECT(Y159),IF([0]!PercentComplete&gt;60%,0,IF(ISBLANK($E$22),"",IF($E$22&gt;INDIRECT(Y159),0,INDIRECT(Y159)-$E$22))))</f>
        <v>#VALUE!</v>
      </c>
      <c r="Y159" s="198" t="e">
        <f t="shared" si="8"/>
        <v>#N/A</v>
      </c>
      <c r="Z159" s="300" t="str">
        <f t="shared" si="6"/>
        <v>NCTAP (North Carolina Tuition Assistance)</v>
      </c>
      <c r="AA159" s="329"/>
    </row>
    <row r="160" spans="14:27" x14ac:dyDescent="0.25">
      <c r="T160" s="257" t="s">
        <v>509</v>
      </c>
      <c r="U160" s="222" t="s">
        <v>568</v>
      </c>
      <c r="V160" s="198"/>
      <c r="W160" s="300" t="str">
        <f t="shared" si="7"/>
        <v>NGHES (Next Generation Hoosiers Scholarship)</v>
      </c>
      <c r="X160" s="198" t="e" cm="1">
        <f t="array" aca="1" ref="X160" ca="1">IF('Page 1'!$C$56&lt;28,INDIRECT(Y160),IF([0]!PercentComplete&gt;60%,0,IF(ISBLANK($E$22),"",IF($E$22&gt;INDIRECT(Y160),0,INDIRECT(Y160)-$E$22))))</f>
        <v>#VALUE!</v>
      </c>
      <c r="Y160" s="198" t="e">
        <f t="shared" si="8"/>
        <v>#N/A</v>
      </c>
      <c r="Z160" s="300" t="str">
        <f t="shared" si="6"/>
        <v>NGHES (Next Generation Hoosiers Scholarship)</v>
      </c>
      <c r="AA160" s="329"/>
    </row>
    <row r="161" spans="20:27" x14ac:dyDescent="0.25">
      <c r="T161" s="257" t="s">
        <v>510</v>
      </c>
      <c r="U161" s="222" t="s">
        <v>569</v>
      </c>
      <c r="V161" s="198"/>
      <c r="W161" s="300" t="str">
        <f t="shared" si="7"/>
        <v>NOG (Nebraska Opportunity Grant)</v>
      </c>
      <c r="X161" s="198" t="e">
        <f ca="1">IF(PercentComplete&gt;60%,0,SUM(PRODUCT(INDIRECT(Y161),-PercentComplete),INDIRECT(Y161)))</f>
        <v>#VALUE!</v>
      </c>
      <c r="Y161" s="198" t="e">
        <f t="shared" si="8"/>
        <v>#N/A</v>
      </c>
      <c r="Z161" s="300" t="str">
        <f t="shared" si="6"/>
        <v>NOG (Nebraska Opportunity Grant)</v>
      </c>
      <c r="AA161" s="329"/>
    </row>
    <row r="162" spans="20:27" x14ac:dyDescent="0.25">
      <c r="T162" s="257" t="s">
        <v>511</v>
      </c>
      <c r="U162" s="222" t="s">
        <v>570</v>
      </c>
      <c r="V162" s="198"/>
      <c r="W162" s="300" t="str">
        <f t="shared" si="7"/>
        <v>NVIPTS (Nevada Incentivizing Pathways to Teaching Stipend)</v>
      </c>
      <c r="X162" s="198" t="e">
        <f ca="1">IF(PercentComplete&gt;60%,0,SUM(PRODUCT(INDIRECT(Y162),-PercentComplete),INDIRECT(Y162)))</f>
        <v>#VALUE!</v>
      </c>
      <c r="Y162" s="198" t="e">
        <f t="shared" si="8"/>
        <v>#N/A</v>
      </c>
      <c r="Z162" s="300" t="str">
        <f t="shared" si="6"/>
        <v>NVIPTS (Nevada Incentivizing Pathways to Teaching Stipend)</v>
      </c>
      <c r="AA162" s="329"/>
    </row>
    <row r="163" spans="20:27" x14ac:dyDescent="0.25">
      <c r="T163" s="257" t="s">
        <v>512</v>
      </c>
      <c r="U163" s="222" t="s">
        <v>571</v>
      </c>
      <c r="V163" s="198"/>
      <c r="W163" s="300" t="str">
        <f t="shared" si="7"/>
        <v>NVIPTA (Nevada Incentivizing Pathways to Teaching Tuition Assistance)</v>
      </c>
      <c r="X163" s="198" t="e">
        <f ca="1">IF(PercentComplete&gt;60%,0,SUM(PRODUCT(INDIRECT(Y163),-PercentComplete),INDIRECT(Y163)))</f>
        <v>#VALUE!</v>
      </c>
      <c r="Y163" s="198" t="e">
        <f t="shared" si="8"/>
        <v>#N/A</v>
      </c>
      <c r="Z163" s="300" t="str">
        <f t="shared" si="6"/>
        <v>NVIPTA (Nevada Incentivizing Pathways to Teaching Tuition Assistance)</v>
      </c>
      <c r="AA163" s="329"/>
    </row>
    <row r="164" spans="20:27" x14ac:dyDescent="0.25">
      <c r="T164" s="257" t="s">
        <v>513</v>
      </c>
      <c r="U164" s="222" t="s">
        <v>572</v>
      </c>
      <c r="V164" s="198"/>
      <c r="W164" s="300" t="str">
        <f t="shared" si="7"/>
        <v>OCOG (Ohio College Opportunity Grant)</v>
      </c>
      <c r="X164" s="198" t="e">
        <f ca="1">IF(PercentComplete&gt;60%,0,SUM(PRODUCT(INDIRECT(Y164),-PercentComplete),INDIRECT(Y164)))</f>
        <v>#VALUE!</v>
      </c>
      <c r="Y164" s="198" t="e">
        <f t="shared" si="8"/>
        <v>#N/A</v>
      </c>
      <c r="Z164" s="300" t="str">
        <f t="shared" si="6"/>
        <v>OCOG (Ohio College Opportunity Grant)</v>
      </c>
      <c r="AA164" s="329"/>
    </row>
    <row r="165" spans="20:27" x14ac:dyDescent="0.25">
      <c r="T165" s="257" t="s">
        <v>514</v>
      </c>
      <c r="U165" s="222" t="s">
        <v>573</v>
      </c>
      <c r="V165" s="198"/>
      <c r="W165" s="300" t="str">
        <f t="shared" si="7"/>
        <v>OH2ND (Ohio Second Chance Grant)</v>
      </c>
      <c r="X165" s="81" t="str">
        <f>""</f>
        <v/>
      </c>
      <c r="Y165" s="198" t="e">
        <f t="shared" si="8"/>
        <v>#N/A</v>
      </c>
      <c r="Z165" s="300" t="str">
        <f t="shared" si="6"/>
        <v>OH2ND (Ohio Second Chance Grant)</v>
      </c>
      <c r="AA165" s="329"/>
    </row>
    <row r="166" spans="20:27" x14ac:dyDescent="0.25">
      <c r="T166" s="257" t="s">
        <v>515</v>
      </c>
      <c r="U166" s="222" t="s">
        <v>574</v>
      </c>
      <c r="V166" s="198"/>
      <c r="W166" s="300" t="str">
        <f t="shared" si="7"/>
        <v>OHNEAL (Ohio Nurse Education Assistance Loan Program)</v>
      </c>
      <c r="X166" s="198" t="e">
        <f ca="1">IF(PercentComplete&gt;60%,0,SUM(PRODUCT(INDIRECT(Y166),-PercentComplete),INDIRECT(Y166)))</f>
        <v>#VALUE!</v>
      </c>
      <c r="Y166" s="198" t="e">
        <f t="shared" si="8"/>
        <v>#N/A</v>
      </c>
      <c r="Z166" s="300" t="str">
        <f t="shared" si="6"/>
        <v>OHNEAL (Ohio Nurse Education Assistance Loan Program)</v>
      </c>
      <c r="AA166" s="329"/>
    </row>
    <row r="167" spans="20:27" x14ac:dyDescent="0.25">
      <c r="T167" s="257" t="s">
        <v>516</v>
      </c>
      <c r="U167" s="222" t="s">
        <v>575</v>
      </c>
      <c r="V167" s="198"/>
      <c r="W167" s="300" t="str">
        <f t="shared" si="7"/>
        <v>OHWOS (Ohio War Orphans Scholarship)</v>
      </c>
      <c r="X167" s="198" t="e">
        <f ca="1">IF(PercentComplete&gt;60%,0,SUM(PRODUCT(INDIRECT(Y167),-PercentComplete),INDIRECT(Y167)))</f>
        <v>#VALUE!</v>
      </c>
      <c r="Y167" s="198" t="e">
        <f t="shared" si="8"/>
        <v>#N/A</v>
      </c>
      <c r="Z167" s="300" t="str">
        <f t="shared" si="6"/>
        <v>OHWOS (Ohio War Orphans Scholarship)</v>
      </c>
      <c r="AA167" s="329"/>
    </row>
    <row r="168" spans="20:27" x14ac:dyDescent="0.25">
      <c r="T168" s="257" t="s">
        <v>517</v>
      </c>
      <c r="U168" s="222" t="s">
        <v>576</v>
      </c>
      <c r="V168" s="198"/>
      <c r="W168" s="300" t="str">
        <f t="shared" si="7"/>
        <v>ONGSP (Ohio National Guard Scholarship Program)</v>
      </c>
      <c r="X168" s="198" t="e">
        <f ca="1">IF(PercentComplete&gt;60%,0,SUM(PRODUCT(INDIRECT(Y168),-PercentComplete),INDIRECT(Y168)))</f>
        <v>#VALUE!</v>
      </c>
      <c r="Y168" s="198" t="e">
        <f t="shared" si="8"/>
        <v>#N/A</v>
      </c>
      <c r="Z168" s="300" t="str">
        <f t="shared" si="6"/>
        <v>ONGSP (Ohio National Guard Scholarship Program)</v>
      </c>
      <c r="AA168" s="329"/>
    </row>
    <row r="169" spans="20:27" x14ac:dyDescent="0.25">
      <c r="T169" s="257" t="s">
        <v>518</v>
      </c>
      <c r="U169" s="222" t="s">
        <v>577</v>
      </c>
      <c r="V169" s="198"/>
      <c r="W169" s="300" t="str">
        <f t="shared" si="7"/>
        <v>SSACI (Indiana State Assistance Grant)</v>
      </c>
      <c r="X169" s="198" t="e" cm="1">
        <f t="array" aca="1" ref="X169" ca="1">IF('Page 1'!$C$56&lt;28,INDIRECT(Y169),IF([0]!PercentComplete&gt;60%,0,IF(ISBLANK($E$22),"",IF($E$22&gt;INDIRECT(Y169),0,INDIRECT(Y169)-$E$22))))</f>
        <v>#VALUE!</v>
      </c>
      <c r="Y169" s="198" t="e">
        <f t="shared" si="8"/>
        <v>#N/A</v>
      </c>
      <c r="Z169" s="300" t="str">
        <f t="shared" si="6"/>
        <v>SSACI (Indiana State Assistance Grant)</v>
      </c>
      <c r="AA169" s="329"/>
    </row>
    <row r="170" spans="20:27" x14ac:dyDescent="0.25">
      <c r="T170" s="257" t="s">
        <v>519</v>
      </c>
      <c r="U170" s="222" t="s">
        <v>578</v>
      </c>
      <c r="V170" s="198"/>
      <c r="W170" s="300" t="str">
        <f t="shared" si="7"/>
        <v>TCHNV (Teach Nevada Scholarship)</v>
      </c>
      <c r="X170" s="198" t="e">
        <f ca="1">IF(PercentComplete&gt;60%,0,SUM(PRODUCT(INDIRECT(Y170),-PercentComplete),INDIRECT(Y170)))</f>
        <v>#VALUE!</v>
      </c>
      <c r="Y170" s="198" t="e">
        <f t="shared" si="8"/>
        <v>#N/A</v>
      </c>
      <c r="Z170" s="300" t="str">
        <f t="shared" si="6"/>
        <v>TCHNV (Teach Nevada Scholarship)</v>
      </c>
      <c r="AA170" s="329"/>
    </row>
    <row r="171" spans="20:27" x14ac:dyDescent="0.25">
      <c r="T171" s="257" t="s">
        <v>520</v>
      </c>
      <c r="U171" s="222" t="s">
        <v>579</v>
      </c>
      <c r="V171" s="198"/>
      <c r="W171" s="300" t="str">
        <f t="shared" si="7"/>
        <v>TSAA (Tennessee State Grant)</v>
      </c>
      <c r="X171" s="198" t="e">
        <f ca="1">IF(PercentComplete&gt;60%,0,SUM(PRODUCT(INDIRECT(Y171),-PercentComplete),INDIRECT(Y171)))</f>
        <v>#VALUE!</v>
      </c>
      <c r="Y171" s="198" t="e">
        <f t="shared" si="8"/>
        <v>#N/A</v>
      </c>
      <c r="Z171" s="300" t="str">
        <f t="shared" si="6"/>
        <v>TSAA (Tennessee State Grant)</v>
      </c>
      <c r="AA171" s="329"/>
    </row>
    <row r="172" spans="20:27" x14ac:dyDescent="0.25">
      <c r="T172" s="257" t="s">
        <v>521</v>
      </c>
      <c r="U172" s="222" t="s">
        <v>580</v>
      </c>
      <c r="V172" s="198"/>
      <c r="W172" s="300" t="str">
        <f t="shared" si="7"/>
        <v>THBELL (Utah TH Bell Scholarship)</v>
      </c>
      <c r="X172" s="198" t="e">
        <f ca="1">IF(PercentComplete&gt;60%,0,SUM(PRODUCT(INDIRECT(Y172),-PercentComplete),INDIRECT(Y172)))</f>
        <v>#VALUE!</v>
      </c>
      <c r="Y172" s="198" t="e">
        <f t="shared" si="8"/>
        <v>#N/A</v>
      </c>
      <c r="Z172" s="300" t="str">
        <f t="shared" si="6"/>
        <v>THBELL (Utah TH Bell Scholarship)</v>
      </c>
      <c r="AA172" s="329"/>
    </row>
    <row r="173" spans="20:27" x14ac:dyDescent="0.25">
      <c r="T173" s="257" t="s">
        <v>522</v>
      </c>
      <c r="U173" s="222" t="s">
        <v>581</v>
      </c>
      <c r="V173" s="198"/>
      <c r="W173" s="300" t="str">
        <f t="shared" si="7"/>
        <v>UTADLR (Utah Adult Leaners Grant)</v>
      </c>
      <c r="X173" s="198" t="e">
        <f ca="1">IF(PercentComplete&gt;60%,0,SUM(PRODUCT(INDIRECT(Y173),-PercentComplete),INDIRECT(Y173)))</f>
        <v>#VALUE!</v>
      </c>
      <c r="Y173" s="198" t="e">
        <f t="shared" si="8"/>
        <v>#N/A</v>
      </c>
      <c r="Z173" s="300" t="str">
        <f t="shared" si="6"/>
        <v>UTADLR (Utah Adult Leaners Grant)</v>
      </c>
      <c r="AA173" s="329"/>
    </row>
    <row r="174" spans="20:27" x14ac:dyDescent="0.25">
      <c r="T174" s="257" t="s">
        <v>523</v>
      </c>
      <c r="U174" s="222" t="s">
        <v>582</v>
      </c>
      <c r="V174" s="198"/>
      <c r="W174" s="300" t="str">
        <f t="shared" si="7"/>
        <v>UTRS (Utah Opportunity Scholarship)</v>
      </c>
      <c r="X174" s="81" t="str">
        <f>""</f>
        <v/>
      </c>
      <c r="Y174" s="198" t="e">
        <f t="shared" si="8"/>
        <v>#N/A</v>
      </c>
      <c r="Z174" s="300" t="str">
        <f t="shared" si="6"/>
        <v>UTRS (Utah Opportunity Scholarship)</v>
      </c>
      <c r="AA174" s="329"/>
    </row>
    <row r="175" spans="20:27" x14ac:dyDescent="0.25">
      <c r="T175" s="257" t="s">
        <v>524</v>
      </c>
      <c r="U175" s="222" t="s">
        <v>583</v>
      </c>
      <c r="V175" s="198"/>
      <c r="W175" s="300" t="str">
        <f t="shared" si="7"/>
        <v>UTSSP (Utah Success Stipend Grant)</v>
      </c>
      <c r="X175" s="198" t="e">
        <f ca="1">IF(PercentComplete&gt;60%,0,SUM(PRODUCT(INDIRECT(Y175),-PercentComplete),INDIRECT(Y175)))</f>
        <v>#VALUE!</v>
      </c>
      <c r="Y175" s="198" t="e">
        <f t="shared" si="8"/>
        <v>#N/A</v>
      </c>
      <c r="Z175" s="300" t="str">
        <f t="shared" si="6"/>
        <v>UTSSP (Utah Success Stipend Grant)</v>
      </c>
      <c r="AA175" s="329"/>
    </row>
    <row r="176" spans="20:27" x14ac:dyDescent="0.25">
      <c r="T176" s="257" t="s">
        <v>525</v>
      </c>
      <c r="U176" s="222" t="s">
        <v>584</v>
      </c>
      <c r="V176" s="198"/>
      <c r="W176" s="300" t="str">
        <f t="shared" si="7"/>
        <v>VSAC (Vermont Student Assistance Corp)</v>
      </c>
      <c r="X176" s="81" t="e">
        <f ca="1">IF('Page 1'!C56&lt;14,PRODUCT(INDIRECT(Y176),0.8),IF('Page 1'!C56&lt;21,PRODUCT(INDIRECT(Y176),0.6),IF('Page 1'!C56&lt;28,PRODUCT(INDIRECT(Y176),0.4),IF('Page 1'!C56&lt;32,PRODUCT(INDIRECT(Y176),0.2),0))))</f>
        <v>#VALUE!</v>
      </c>
      <c r="Y176" s="198" t="e">
        <f t="shared" si="8"/>
        <v>#N/A</v>
      </c>
      <c r="Z176" s="300" t="str">
        <f t="shared" si="6"/>
        <v>VSAC (Vermont Student Assistance Corp)</v>
      </c>
      <c r="AA176" s="329"/>
    </row>
    <row r="177" spans="20:27" x14ac:dyDescent="0.25">
      <c r="T177" s="257" t="s">
        <v>526</v>
      </c>
      <c r="U177" s="222" t="s">
        <v>585</v>
      </c>
      <c r="V177" s="198"/>
      <c r="W177" s="300" t="str">
        <f t="shared" si="7"/>
        <v>WABRDG (Washington Bridge Scholarship)</v>
      </c>
      <c r="Y177" s="198" t="e">
        <f t="shared" si="8"/>
        <v>#N/A</v>
      </c>
      <c r="Z177" s="300" t="str">
        <f t="shared" si="6"/>
        <v>WABRDG (Washington Bridge Scholarship)</v>
      </c>
      <c r="AA177" s="329"/>
    </row>
    <row r="178" spans="20:27" x14ac:dyDescent="0.25">
      <c r="T178" s="257" t="s">
        <v>527</v>
      </c>
      <c r="U178" s="222" t="s">
        <v>586</v>
      </c>
      <c r="V178" s="198"/>
      <c r="W178" s="300" t="str">
        <f t="shared" si="7"/>
        <v>WACBS (Washington College Bound Scholarship)</v>
      </c>
      <c r="X178" s="81">
        <v>0</v>
      </c>
      <c r="Y178" s="198" t="e">
        <f t="shared" si="8"/>
        <v>#N/A</v>
      </c>
      <c r="Z178" s="300" t="str">
        <f t="shared" si="6"/>
        <v>WACBS (Washington College Bound Scholarship)</v>
      </c>
      <c r="AA178" s="329"/>
    </row>
    <row r="179" spans="20:27" x14ac:dyDescent="0.25">
      <c r="T179" s="257" t="s">
        <v>528</v>
      </c>
      <c r="U179" s="222" t="s">
        <v>587</v>
      </c>
      <c r="V179" s="198"/>
      <c r="W179" s="300" t="str">
        <f t="shared" si="7"/>
        <v>WACG (Washington College Grant)</v>
      </c>
      <c r="X179" s="81">
        <v>0</v>
      </c>
      <c r="Y179" s="198" t="e">
        <f t="shared" si="8"/>
        <v>#N/A</v>
      </c>
      <c r="Z179" s="300" t="str">
        <f t="shared" si="6"/>
        <v>WACG (Washington College Grant)</v>
      </c>
      <c r="AA179" s="329"/>
    </row>
    <row r="180" spans="20:27" x14ac:dyDescent="0.25">
      <c r="T180" s="257" t="s">
        <v>529</v>
      </c>
      <c r="U180" s="222" t="s">
        <v>588</v>
      </c>
      <c r="V180" s="198"/>
      <c r="W180" s="300" t="str">
        <f t="shared" si="7"/>
        <v>WAPTC (Washington Passport to College)</v>
      </c>
      <c r="X180" s="81">
        <v>0</v>
      </c>
      <c r="Y180" s="198" t="e">
        <f t="shared" si="8"/>
        <v>#N/A</v>
      </c>
      <c r="Z180" s="300" t="str">
        <f t="shared" si="6"/>
        <v>WAPTC (Washington Passport to College)</v>
      </c>
      <c r="AA180" s="329"/>
    </row>
    <row r="181" spans="20:27" x14ac:dyDescent="0.25">
      <c r="T181" s="257" t="s">
        <v>530</v>
      </c>
      <c r="U181" s="222" t="s">
        <v>589</v>
      </c>
      <c r="V181" s="198"/>
      <c r="W181" s="300" t="str">
        <f t="shared" si="7"/>
        <v>WATS (Washington Teacher Shortage Conditional Grant)</v>
      </c>
      <c r="X181" s="81">
        <v>0</v>
      </c>
      <c r="Y181" s="198" t="e">
        <f t="shared" si="8"/>
        <v>#N/A</v>
      </c>
      <c r="Z181" s="300" t="str">
        <f t="shared" si="6"/>
        <v>WATS (Washington Teacher Shortage Conditional Grant)</v>
      </c>
      <c r="AA181" s="329"/>
    </row>
    <row r="182" spans="20:27" x14ac:dyDescent="0.25">
      <c r="T182" s="257" t="s">
        <v>531</v>
      </c>
      <c r="U182" s="222" t="s">
        <v>590</v>
      </c>
      <c r="V182" s="198"/>
      <c r="W182" s="300" t="str">
        <f t="shared" si="7"/>
        <v>WAGG (Washington National Guard Grant)</v>
      </c>
      <c r="X182" s="81">
        <v>0</v>
      </c>
      <c r="Y182" s="198" t="e">
        <f t="shared" si="8"/>
        <v>#N/A</v>
      </c>
      <c r="Z182" s="300" t="str">
        <f t="shared" si="6"/>
        <v>WAGG (Washington National Guard Grant)</v>
      </c>
      <c r="AA182" s="329"/>
    </row>
    <row r="183" spans="20:27" x14ac:dyDescent="0.25">
      <c r="T183" s="257" t="s">
        <v>532</v>
      </c>
      <c r="U183" s="222" t="s">
        <v>591</v>
      </c>
      <c r="V183" s="198"/>
      <c r="W183" s="300" t="str">
        <f t="shared" si="7"/>
        <v>WSOS (Washington State Opportunity Scholarship)</v>
      </c>
      <c r="X183" s="81" t="e" cm="1">
        <f t="array" aca="1" ref="X183" ca="1">IF('Page 1'!C56&gt;10,0,INDIRECT(Y183))</f>
        <v>#VALUE!</v>
      </c>
      <c r="Y183" s="198" t="e">
        <f t="shared" si="8"/>
        <v>#N/A</v>
      </c>
      <c r="Z183" s="300" t="str">
        <f t="shared" si="6"/>
        <v>WSOS (Washington State Opportunity Scholarship)</v>
      </c>
      <c r="AA183" s="329"/>
    </row>
    <row r="184" spans="20:27" x14ac:dyDescent="0.25">
      <c r="T184" s="257" t="s">
        <v>533</v>
      </c>
      <c r="U184" s="222" t="s">
        <v>592</v>
      </c>
      <c r="V184" s="198"/>
      <c r="W184" s="300" t="str">
        <f t="shared" si="7"/>
        <v>WSDT (Washington Student Teaching Grant)</v>
      </c>
      <c r="X184" s="81">
        <v>0</v>
      </c>
      <c r="Y184" s="198" t="e">
        <f t="shared" si="8"/>
        <v>#N/A</v>
      </c>
      <c r="Z184" s="300" t="str">
        <f t="shared" si="6"/>
        <v>WSDT (Washington Student Teaching Grant)</v>
      </c>
      <c r="AA184" s="329"/>
    </row>
    <row r="185" spans="20:27" x14ac:dyDescent="0.25">
      <c r="T185" s="257" t="s">
        <v>535</v>
      </c>
      <c r="U185" s="222" t="s">
        <v>593</v>
      </c>
      <c r="V185" s="198"/>
      <c r="W185" s="300" t="str">
        <f t="shared" si="7"/>
        <v>COBFAC (College of Business Faculty)</v>
      </c>
      <c r="X185">
        <v>0</v>
      </c>
      <c r="Y185" s="198" t="e">
        <f t="shared" si="8"/>
        <v>#N/A</v>
      </c>
      <c r="Z185" s="300" t="str">
        <f t="shared" si="6"/>
        <v>COBFAC (College of Business Faculty)</v>
      </c>
      <c r="AA185" s="257" t="str">
        <f>""</f>
        <v/>
      </c>
    </row>
    <row r="186" spans="20:27" x14ac:dyDescent="0.25">
      <c r="T186" s="257" t="s">
        <v>536</v>
      </c>
      <c r="U186" s="222" t="s">
        <v>594</v>
      </c>
      <c r="V186" s="198"/>
      <c r="W186" s="300" t="str">
        <f t="shared" si="7"/>
        <v>DEVCAR (Dev Cares Scholarship)</v>
      </c>
      <c r="X186">
        <v>0</v>
      </c>
      <c r="Y186" s="198" t="e">
        <f t="shared" si="8"/>
        <v>#N/A</v>
      </c>
      <c r="Z186" s="300" t="str">
        <f t="shared" si="6"/>
        <v>DEVCAR (Dev Cares Scholarship)</v>
      </c>
      <c r="AA186" s="257" t="str">
        <f>""</f>
        <v/>
      </c>
    </row>
    <row r="187" spans="20:27" x14ac:dyDescent="0.25">
      <c r="T187" s="257" t="s">
        <v>537</v>
      </c>
      <c r="U187" s="222" t="s">
        <v>595</v>
      </c>
      <c r="V187" s="198"/>
      <c r="W187" s="300" t="str">
        <f t="shared" si="7"/>
        <v>DTEACH (Demonstrating Teaching)</v>
      </c>
      <c r="X187">
        <v>0</v>
      </c>
      <c r="Y187" s="198" t="e">
        <f t="shared" si="8"/>
        <v>#N/A</v>
      </c>
      <c r="Z187" s="300" t="str">
        <f t="shared" si="6"/>
        <v>DTEACH (Demonstrating Teaching)</v>
      </c>
      <c r="AA187" s="257" t="str">
        <f>""</f>
        <v/>
      </c>
    </row>
    <row r="188" spans="20:27" x14ac:dyDescent="0.25">
      <c r="T188" s="257" t="s">
        <v>538</v>
      </c>
      <c r="U188" s="222" t="s">
        <v>596</v>
      </c>
      <c r="V188" s="198"/>
      <c r="W188" s="300" t="str">
        <f t="shared" si="7"/>
        <v>EAF (Emergency Aid Fund)</v>
      </c>
      <c r="X188">
        <v>0</v>
      </c>
      <c r="Y188" s="198" t="e">
        <f t="shared" si="8"/>
        <v>#N/A</v>
      </c>
      <c r="Z188" s="300" t="str">
        <f t="shared" si="6"/>
        <v>EAF (Emergency Aid Fund)</v>
      </c>
      <c r="AA188" s="257" t="str">
        <f>""</f>
        <v/>
      </c>
    </row>
    <row r="189" spans="20:27" x14ac:dyDescent="0.25">
      <c r="T189" s="257" t="s">
        <v>539</v>
      </c>
      <c r="U189" s="222" t="s">
        <v>597</v>
      </c>
      <c r="V189" s="198"/>
      <c r="W189" s="300" t="str">
        <f t="shared" si="7"/>
        <v>EMPGIV (Employees Give Back)</v>
      </c>
      <c r="X189">
        <v>0</v>
      </c>
      <c r="Y189" s="198" t="e">
        <f t="shared" si="8"/>
        <v>#N/A</v>
      </c>
      <c r="Z189" s="300" t="str">
        <f t="shared" si="6"/>
        <v>EMPGIV (Employees Give Back)</v>
      </c>
      <c r="AA189" s="257" t="str">
        <f>""</f>
        <v/>
      </c>
    </row>
    <row r="190" spans="20:27" x14ac:dyDescent="0.25">
      <c r="T190" s="257" t="s">
        <v>540</v>
      </c>
      <c r="U190" s="222" t="s">
        <v>598</v>
      </c>
      <c r="V190" s="198"/>
      <c r="W190" s="300" t="str">
        <f t="shared" si="7"/>
        <v>FINLIT (Financial Literacy)</v>
      </c>
      <c r="X190">
        <v>0</v>
      </c>
      <c r="Y190" s="198" t="e">
        <f t="shared" si="8"/>
        <v>#N/A</v>
      </c>
      <c r="Z190" s="300" t="str">
        <f t="shared" si="6"/>
        <v>FINLIT (Financial Literacy)</v>
      </c>
      <c r="AA190" s="257" t="str">
        <f>""</f>
        <v/>
      </c>
    </row>
    <row r="191" spans="20:27" x14ac:dyDescent="0.25">
      <c r="T191" s="257" t="s">
        <v>541</v>
      </c>
      <c r="U191" s="222" t="s">
        <v>599</v>
      </c>
      <c r="V191" s="198"/>
      <c r="W191" s="300" t="str">
        <f t="shared" si="7"/>
        <v>FNO (Fellow Night Owl)</v>
      </c>
      <c r="X191">
        <v>0</v>
      </c>
      <c r="Y191" s="198" t="e">
        <f t="shared" si="8"/>
        <v>#N/A</v>
      </c>
      <c r="Z191" s="300" t="str">
        <f t="shared" si="6"/>
        <v>FNO (Fellow Night Owl)</v>
      </c>
      <c r="AA191" s="257" t="str">
        <f>""</f>
        <v/>
      </c>
    </row>
    <row r="192" spans="20:27" x14ac:dyDescent="0.25">
      <c r="T192" s="257" t="s">
        <v>542</v>
      </c>
      <c r="U192" s="222" t="s">
        <v>600</v>
      </c>
      <c r="V192" s="198"/>
      <c r="W192" s="300" t="str">
        <f t="shared" si="7"/>
        <v>GRADSP (Grad/SAP Incentive)</v>
      </c>
      <c r="X192">
        <v>0</v>
      </c>
      <c r="Y192" s="198" t="e">
        <f t="shared" si="8"/>
        <v>#N/A</v>
      </c>
      <c r="Z192" s="300" t="str">
        <f t="shared" si="6"/>
        <v>GRADSP (Grad/SAP Incentive)</v>
      </c>
      <c r="AA192" s="257" t="str">
        <f>""</f>
        <v/>
      </c>
    </row>
    <row r="193" spans="20:27" x14ac:dyDescent="0.25">
      <c r="T193" s="257" t="s">
        <v>543</v>
      </c>
      <c r="U193" s="222" t="s">
        <v>601</v>
      </c>
      <c r="V193" s="198"/>
      <c r="W193" s="300" t="str">
        <f t="shared" si="7"/>
        <v>GTF (Greater Texas Foundation)</v>
      </c>
      <c r="X193">
        <v>0</v>
      </c>
      <c r="Y193" s="198" t="e">
        <f t="shared" si="8"/>
        <v>#N/A</v>
      </c>
      <c r="Z193" s="300" t="str">
        <f t="shared" si="6"/>
        <v>GTF (Greater Texas Foundation)</v>
      </c>
      <c r="AA193" s="257" t="str">
        <f>""</f>
        <v/>
      </c>
    </row>
    <row r="194" spans="20:27" x14ac:dyDescent="0.25">
      <c r="T194" s="257" t="s">
        <v>544</v>
      </c>
      <c r="U194" s="222" t="s">
        <v>602</v>
      </c>
      <c r="V194" s="198"/>
      <c r="W194" s="300" t="str">
        <f t="shared" si="7"/>
        <v>HANSF (Miller Bullen Hansen)</v>
      </c>
      <c r="X194">
        <v>0</v>
      </c>
      <c r="Y194" s="198" t="e">
        <f t="shared" si="8"/>
        <v>#N/A</v>
      </c>
      <c r="Z194" s="300" t="str">
        <f t="shared" si="6"/>
        <v>HANSF (Miller Bullen Hansen)</v>
      </c>
      <c r="AA194" s="257" t="str">
        <f>""</f>
        <v/>
      </c>
    </row>
    <row r="195" spans="20:27" x14ac:dyDescent="0.25">
      <c r="T195" s="257" t="s">
        <v>545</v>
      </c>
      <c r="U195" s="222" t="s">
        <v>603</v>
      </c>
      <c r="V195" s="198"/>
      <c r="W195" s="300" t="str">
        <f t="shared" si="7"/>
        <v>HARDSH (Financial Support Fund)</v>
      </c>
      <c r="X195">
        <v>0</v>
      </c>
      <c r="Y195" s="198" t="e">
        <f t="shared" si="8"/>
        <v>#N/A</v>
      </c>
      <c r="Z195" s="300" t="str">
        <f t="shared" si="6"/>
        <v>HARDSH (Financial Support Fund)</v>
      </c>
      <c r="AA195" s="257" t="str">
        <f>""</f>
        <v/>
      </c>
    </row>
    <row r="196" spans="20:27" x14ac:dyDescent="0.25">
      <c r="T196" s="257" t="s">
        <v>546</v>
      </c>
      <c r="U196" s="222" t="s">
        <v>604</v>
      </c>
      <c r="V196" s="198"/>
      <c r="W196" s="300" t="str">
        <f t="shared" si="7"/>
        <v>HSCHOL (Hansen Scholarship)</v>
      </c>
      <c r="X196">
        <v>0</v>
      </c>
      <c r="Y196" s="198" t="e">
        <f t="shared" si="8"/>
        <v>#N/A</v>
      </c>
      <c r="Z196" s="300" t="str">
        <f t="shared" si="6"/>
        <v>HSCHOL (Hansen Scholarship)</v>
      </c>
      <c r="AA196" s="257" t="str">
        <f>""</f>
        <v/>
      </c>
    </row>
    <row r="197" spans="20:27" x14ac:dyDescent="0.25">
      <c r="T197" s="257" t="s">
        <v>547</v>
      </c>
      <c r="U197" s="222" t="s">
        <v>605</v>
      </c>
      <c r="V197" s="198"/>
      <c r="W197" s="300" t="str">
        <f t="shared" si="7"/>
        <v>INGRAM (John Ingram Tennessee Foundation)</v>
      </c>
      <c r="X197">
        <v>0</v>
      </c>
      <c r="Y197" s="198" t="e">
        <f t="shared" si="8"/>
        <v>#N/A</v>
      </c>
      <c r="Z197" s="300" t="str">
        <f t="shared" si="6"/>
        <v>INGRAM (John Ingram Tennessee Foundation)</v>
      </c>
      <c r="AA197" s="257" t="str">
        <f>""</f>
        <v/>
      </c>
    </row>
    <row r="198" spans="20:27" x14ac:dyDescent="0.25">
      <c r="T198" s="257" t="s">
        <v>548</v>
      </c>
      <c r="U198" s="222" t="s">
        <v>606</v>
      </c>
      <c r="V198" s="198"/>
      <c r="W198" s="300" t="str">
        <f t="shared" si="7"/>
        <v>TGRANT (Tuition Grant)</v>
      </c>
      <c r="X198">
        <v>0</v>
      </c>
      <c r="Y198" s="198" t="e">
        <f t="shared" si="8"/>
        <v>#N/A</v>
      </c>
      <c r="Z198" s="300" t="str">
        <f t="shared" si="6"/>
        <v>TGRANT (Tuition Grant)</v>
      </c>
      <c r="AA198" s="257" t="str">
        <f>""</f>
        <v/>
      </c>
    </row>
    <row r="199" spans="20:27" x14ac:dyDescent="0.25">
      <c r="T199" s="257" t="s">
        <v>101</v>
      </c>
      <c r="U199" s="222"/>
      <c r="W199" s="300" t="str">
        <f t="shared" si="7"/>
        <v>Other</v>
      </c>
      <c r="X199" s="81" t="e" cm="1">
        <f t="array" aca="1" ref="X199" ca="1">IF(Y202,IF('Page 1'!C56&lt;90,INDIRECT(Y199),SUM(PRODUCT(INDIRECT(Y199),-PercentComplete),INDIRECT(Y199))),SUM(PRODUCT(INDIRECT(Y199),-PercentComplete),INDIRECT(Y199)))</f>
        <v>#N/A</v>
      </c>
      <c r="Y199" s="198" t="e">
        <f>"E"&amp;(MATCH(W199,$C$1:$C$27,0))</f>
        <v>#N/A</v>
      </c>
      <c r="Z199" s="300" t="str">
        <f t="shared" si="6"/>
        <v>Other</v>
      </c>
      <c r="AA199" s="257" t="str">
        <f>""</f>
        <v/>
      </c>
    </row>
    <row r="201" spans="20:27" x14ac:dyDescent="0.25">
      <c r="T201" s="169" t="s">
        <v>492</v>
      </c>
      <c r="U201" s="332" t="s">
        <v>610</v>
      </c>
      <c r="Y201" s="212" t="s">
        <v>623</v>
      </c>
    </row>
    <row r="202" spans="20:27" x14ac:dyDescent="0.25">
      <c r="T202" s="300" t="str">
        <f>T144</f>
        <v>21CENT (Indiana 21st Century Scholarship)</v>
      </c>
      <c r="U202" s="292" t="s">
        <v>611</v>
      </c>
      <c r="V202" s="293"/>
      <c r="W202" s="293"/>
      <c r="X202" s="314"/>
      <c r="Y202" s="81" t="b">
        <v>0</v>
      </c>
    </row>
    <row r="203" spans="20:27" x14ac:dyDescent="0.25">
      <c r="T203" s="300" t="str">
        <f t="shared" ref="T203:T257" si="9">T145</f>
        <v>AZLEAP (Arizona Leap)</v>
      </c>
      <c r="U203" s="311" t="str">
        <f>""</f>
        <v/>
      </c>
      <c r="V203" s="293"/>
      <c r="W203" s="293"/>
      <c r="X203" s="314"/>
    </row>
    <row r="204" spans="20:27" x14ac:dyDescent="0.25">
      <c r="T204" s="300" t="str">
        <f t="shared" si="9"/>
        <v>COFS (Choose Ohio First Scholarship)</v>
      </c>
      <c r="U204" s="311" t="str">
        <f>""</f>
        <v/>
      </c>
      <c r="V204" s="293"/>
      <c r="W204" s="293"/>
      <c r="X204" s="314"/>
    </row>
    <row r="205" spans="20:27" x14ac:dyDescent="0.25">
      <c r="T205" s="300" t="str">
        <f t="shared" si="9"/>
        <v>IDGEAR (Idaho GEAR UP)</v>
      </c>
      <c r="U205" s="311" t="str">
        <f>""</f>
        <v/>
      </c>
      <c r="V205" s="293"/>
      <c r="W205" s="293"/>
      <c r="X205" s="314"/>
    </row>
    <row r="206" spans="20:27" x14ac:dyDescent="0.25">
      <c r="T206" s="300" t="str">
        <f t="shared" si="9"/>
        <v>IDOPAL (Idaho Opportunity Scholarship Adult Learners)</v>
      </c>
      <c r="U206" s="311" t="str">
        <f>""</f>
        <v/>
      </c>
      <c r="V206" s="293"/>
      <c r="W206" s="293"/>
      <c r="X206" s="314"/>
    </row>
    <row r="207" spans="20:27" x14ac:dyDescent="0.25">
      <c r="T207" s="300" t="str">
        <f t="shared" si="9"/>
        <v>IDOPPS (Idaho Opportunity Scholarship)</v>
      </c>
      <c r="U207" s="311" t="str">
        <f>""</f>
        <v/>
      </c>
      <c r="V207" s="293"/>
      <c r="W207" s="293"/>
      <c r="X207" s="314"/>
    </row>
    <row r="208" spans="20:27" x14ac:dyDescent="0.25">
      <c r="T208" s="300" t="str">
        <f t="shared" si="9"/>
        <v>IDPOST (Idaho Postsecondary Credit Scholarship)</v>
      </c>
      <c r="U208" s="311" t="str">
        <f>""</f>
        <v/>
      </c>
      <c r="V208" s="293"/>
      <c r="W208" s="293"/>
      <c r="X208" s="314"/>
    </row>
    <row r="209" spans="20:24" x14ac:dyDescent="0.25">
      <c r="T209" s="300" t="str">
        <f t="shared" si="9"/>
        <v>INMILT (Indiana Military Grant - CVO)</v>
      </c>
      <c r="U209" s="292" t="s">
        <v>611</v>
      </c>
      <c r="V209" s="293"/>
      <c r="W209" s="293"/>
      <c r="X209" s="314"/>
    </row>
    <row r="210" spans="20:24" x14ac:dyDescent="0.25">
      <c r="T210" s="300" t="str">
        <f t="shared" si="9"/>
        <v>INMINT (Indiana Minority Teachers Scholarship)</v>
      </c>
      <c r="U210" s="292" t="s">
        <v>611</v>
      </c>
      <c r="V210" s="293"/>
      <c r="W210" s="293"/>
      <c r="X210" s="314"/>
    </row>
    <row r="211" spans="20:24" x14ac:dyDescent="0.25">
      <c r="T211" s="300" t="str">
        <f t="shared" si="9"/>
        <v>INPART (Indiana Adult Student Grant)</v>
      </c>
      <c r="U211" s="292" t="s">
        <v>611</v>
      </c>
      <c r="V211" s="293"/>
      <c r="W211" s="293"/>
      <c r="X211" s="314"/>
    </row>
    <row r="212" spans="20:24" x14ac:dyDescent="0.25">
      <c r="T212" s="300" t="str">
        <f t="shared" si="9"/>
        <v>INROTC (Indiana ROTC Grant)</v>
      </c>
      <c r="U212" s="292" t="s">
        <v>611</v>
      </c>
      <c r="V212" s="293"/>
      <c r="W212" s="293"/>
      <c r="X212" s="314"/>
    </row>
    <row r="213" spans="20:24" x14ac:dyDescent="0.25">
      <c r="T213" s="300" t="str">
        <f t="shared" si="9"/>
        <v>KCSCHA (Kansas City Scholars Scholarship)</v>
      </c>
      <c r="U213" s="311" t="s">
        <v>618</v>
      </c>
      <c r="V213" s="293"/>
      <c r="W213" s="293"/>
      <c r="X213" s="314"/>
    </row>
    <row r="214" spans="20:24" x14ac:dyDescent="0.25">
      <c r="T214" s="300" t="str">
        <f t="shared" si="9"/>
        <v>MITCHD (Indiana Mitch Daniels Scholarship)</v>
      </c>
      <c r="U214" t="s">
        <v>619</v>
      </c>
      <c r="V214" s="293"/>
      <c r="W214" s="293"/>
      <c r="X214" s="314"/>
    </row>
    <row r="215" spans="20:24" x14ac:dyDescent="0.25">
      <c r="T215" s="300" t="str">
        <f t="shared" si="9"/>
        <v>MOFAST (Missouri Fast Track Workforce Incentive Grant)</v>
      </c>
      <c r="U215" t="s">
        <v>620</v>
      </c>
      <c r="V215" s="293"/>
      <c r="W215" s="293"/>
      <c r="X215" s="314"/>
    </row>
    <row r="216" spans="20:24" x14ac:dyDescent="0.25">
      <c r="T216" s="300" t="str">
        <f t="shared" si="9"/>
        <v>MOGRNT (Access Missouri Grant)</v>
      </c>
      <c r="U216" s="311" t="str">
        <f>""</f>
        <v/>
      </c>
      <c r="V216" s="293"/>
      <c r="W216" s="293"/>
      <c r="X216" s="314"/>
    </row>
    <row r="217" spans="20:24" x14ac:dyDescent="0.25">
      <c r="T217" s="300" t="str">
        <f t="shared" si="9"/>
        <v>NCTAP (North Carolina Tuition Assistance)</v>
      </c>
      <c r="U217" s="311" t="str">
        <f>""</f>
        <v/>
      </c>
      <c r="V217" s="293"/>
      <c r="W217" s="293"/>
      <c r="X217" s="314"/>
    </row>
    <row r="218" spans="20:24" x14ac:dyDescent="0.25">
      <c r="T218" s="300" t="str">
        <f t="shared" si="9"/>
        <v>NGHES (Next Generation Hoosiers Scholarship)</v>
      </c>
      <c r="U218" s="292" t="s">
        <v>611</v>
      </c>
      <c r="V218" s="293"/>
      <c r="W218" s="293"/>
      <c r="X218" s="314"/>
    </row>
    <row r="219" spans="20:24" x14ac:dyDescent="0.25">
      <c r="T219" s="300" t="str">
        <f t="shared" si="9"/>
        <v>NOG (Nebraska Opportunity Grant)</v>
      </c>
      <c r="U219" s="311" t="str">
        <f>""</f>
        <v/>
      </c>
      <c r="V219" s="293"/>
      <c r="W219" s="293"/>
      <c r="X219" s="314"/>
    </row>
    <row r="220" spans="20:24" x14ac:dyDescent="0.25">
      <c r="T220" s="300" t="str">
        <f t="shared" si="9"/>
        <v>NVIPTS (Nevada Incentivizing Pathways to Teaching Stipend)</v>
      </c>
      <c r="U220" s="292" t="s">
        <v>612</v>
      </c>
      <c r="V220" s="293"/>
      <c r="W220" s="293"/>
      <c r="X220" s="314"/>
    </row>
    <row r="221" spans="20:24" x14ac:dyDescent="0.25">
      <c r="T221" s="300" t="str">
        <f t="shared" si="9"/>
        <v>NVIPTA (Nevada Incentivizing Pathways to Teaching Tuition Assistance)</v>
      </c>
      <c r="U221" s="292" t="s">
        <v>612</v>
      </c>
      <c r="V221" s="293"/>
      <c r="W221" s="293"/>
      <c r="X221" s="314"/>
    </row>
    <row r="222" spans="20:24" x14ac:dyDescent="0.25">
      <c r="T222" s="300" t="str">
        <f t="shared" si="9"/>
        <v>OCOG (Ohio College Opportunity Grant)</v>
      </c>
      <c r="U222" s="311" t="str">
        <f>""</f>
        <v/>
      </c>
      <c r="V222" s="293"/>
      <c r="W222" s="293"/>
      <c r="X222" s="314"/>
    </row>
    <row r="223" spans="20:24" x14ac:dyDescent="0.25">
      <c r="T223" s="300" t="str">
        <f t="shared" si="9"/>
        <v>OH2ND (Ohio Second Chance Grant)</v>
      </c>
      <c r="U223" t="s">
        <v>621</v>
      </c>
      <c r="V223" s="293"/>
      <c r="W223" s="293"/>
      <c r="X223" s="314"/>
    </row>
    <row r="224" spans="20:24" x14ac:dyDescent="0.25">
      <c r="T224" s="300" t="str">
        <f t="shared" si="9"/>
        <v>OHNEAL (Ohio Nurse Education Assistance Loan Program)</v>
      </c>
      <c r="U224" s="311" t="str">
        <f>""</f>
        <v/>
      </c>
      <c r="V224" s="293"/>
      <c r="W224" s="293"/>
      <c r="X224" s="314"/>
    </row>
    <row r="225" spans="20:24" x14ac:dyDescent="0.25">
      <c r="T225" s="300" t="str">
        <f t="shared" si="9"/>
        <v>OHWOS (Ohio War Orphans Scholarship)</v>
      </c>
      <c r="U225" s="311" t="str">
        <f>""</f>
        <v/>
      </c>
      <c r="V225" s="293"/>
      <c r="W225" s="293"/>
      <c r="X225" s="314"/>
    </row>
    <row r="226" spans="20:24" x14ac:dyDescent="0.25">
      <c r="T226" s="300" t="str">
        <f t="shared" si="9"/>
        <v>ONGSP (Ohio National Guard Scholarship Program)</v>
      </c>
      <c r="U226" s="311" t="str">
        <f>""</f>
        <v/>
      </c>
      <c r="V226" s="293"/>
      <c r="W226" s="293"/>
      <c r="X226" s="314"/>
    </row>
    <row r="227" spans="20:24" x14ac:dyDescent="0.25">
      <c r="T227" s="300" t="str">
        <f t="shared" si="9"/>
        <v>SSACI (Indiana State Assistance Grant)</v>
      </c>
      <c r="U227" s="292" t="s">
        <v>611</v>
      </c>
      <c r="V227" s="293"/>
      <c r="W227" s="293"/>
      <c r="X227" s="314"/>
    </row>
    <row r="228" spans="20:24" x14ac:dyDescent="0.25">
      <c r="T228" s="300" t="str">
        <f t="shared" si="9"/>
        <v>TCHNV (Teach Nevada Scholarship)</v>
      </c>
      <c r="U228" s="292" t="s">
        <v>612</v>
      </c>
      <c r="V228" s="293"/>
      <c r="W228" s="293"/>
      <c r="X228" s="314"/>
    </row>
    <row r="229" spans="20:24" x14ac:dyDescent="0.25">
      <c r="T229" s="300" t="str">
        <f t="shared" si="9"/>
        <v>TSAA (Tennessee State Grant)</v>
      </c>
      <c r="U229" s="311" t="str">
        <f>""</f>
        <v/>
      </c>
      <c r="V229" s="293"/>
      <c r="W229" s="293"/>
      <c r="X229" s="314"/>
    </row>
    <row r="230" spans="20:24" x14ac:dyDescent="0.25">
      <c r="T230" s="300" t="str">
        <f t="shared" si="9"/>
        <v>THBELL (Utah TH Bell Scholarship)</v>
      </c>
      <c r="U230" s="311" t="str">
        <f>""</f>
        <v/>
      </c>
      <c r="V230" s="293"/>
      <c r="W230" s="293"/>
      <c r="X230" s="314"/>
    </row>
    <row r="231" spans="20:24" x14ac:dyDescent="0.25">
      <c r="T231" s="300" t="str">
        <f t="shared" si="9"/>
        <v>UTADLR (Utah Adult Leaners Grant)</v>
      </c>
      <c r="U231" s="311" t="str">
        <f>""</f>
        <v/>
      </c>
      <c r="V231" s="293"/>
      <c r="W231" s="293"/>
      <c r="X231" s="314"/>
    </row>
    <row r="232" spans="20:24" x14ac:dyDescent="0.25">
      <c r="T232" s="300" t="str">
        <f t="shared" si="9"/>
        <v>UTRS (Utah Opportunity Scholarship)</v>
      </c>
      <c r="U232" t="s">
        <v>622</v>
      </c>
      <c r="V232" s="293"/>
      <c r="W232" s="293"/>
      <c r="X232" s="314"/>
    </row>
    <row r="233" spans="20:24" x14ac:dyDescent="0.25">
      <c r="T233" s="300" t="str">
        <f t="shared" si="9"/>
        <v>UTSSP (Utah Success Stipend Grant)</v>
      </c>
      <c r="U233" s="311" t="str">
        <f>""</f>
        <v/>
      </c>
      <c r="V233" s="293"/>
      <c r="W233" s="293"/>
      <c r="X233" s="314"/>
    </row>
    <row r="234" spans="20:24" x14ac:dyDescent="0.25">
      <c r="T234" s="300" t="str">
        <f t="shared" si="9"/>
        <v>VSAC (Vermont Student Assistance Corp)</v>
      </c>
      <c r="U234" s="311" t="str">
        <f>""</f>
        <v/>
      </c>
      <c r="V234" s="293"/>
      <c r="W234" s="293"/>
      <c r="X234" s="314"/>
    </row>
    <row r="235" spans="20:24" x14ac:dyDescent="0.25">
      <c r="T235" s="300" t="str">
        <f t="shared" si="9"/>
        <v>WABRDG (Washington Bridge Scholarship)</v>
      </c>
      <c r="U235" s="311" t="str">
        <f>""</f>
        <v/>
      </c>
      <c r="V235" s="293"/>
      <c r="W235" s="293"/>
      <c r="X235" s="314"/>
    </row>
    <row r="236" spans="20:24" x14ac:dyDescent="0.25">
      <c r="T236" s="300" t="str">
        <f t="shared" si="9"/>
        <v>WACBS (Washington College Bound Scholarship)</v>
      </c>
      <c r="U236" s="311" t="s">
        <v>613</v>
      </c>
      <c r="V236" s="293"/>
      <c r="W236" s="293"/>
      <c r="X236" s="314"/>
    </row>
    <row r="237" spans="20:24" x14ac:dyDescent="0.25">
      <c r="T237" s="300" t="str">
        <f t="shared" si="9"/>
        <v>WACG (Washington College Grant)</v>
      </c>
      <c r="U237" s="292" t="s">
        <v>613</v>
      </c>
      <c r="V237" s="293"/>
      <c r="W237" s="293"/>
      <c r="X237" s="314"/>
    </row>
    <row r="238" spans="20:24" x14ac:dyDescent="0.25">
      <c r="T238" s="300" t="str">
        <f t="shared" si="9"/>
        <v>WAPTC (Washington Passport to College)</v>
      </c>
      <c r="U238" s="292" t="s">
        <v>613</v>
      </c>
      <c r="V238" s="293"/>
      <c r="W238" s="293"/>
      <c r="X238" s="314"/>
    </row>
    <row r="239" spans="20:24" x14ac:dyDescent="0.25">
      <c r="T239" s="300" t="str">
        <f t="shared" si="9"/>
        <v>WATS (Washington Teacher Shortage Conditional Grant)</v>
      </c>
      <c r="U239" s="311" t="str">
        <f>""</f>
        <v/>
      </c>
      <c r="V239" s="293"/>
      <c r="W239" s="293"/>
      <c r="X239" s="314"/>
    </row>
    <row r="240" spans="20:24" x14ac:dyDescent="0.25">
      <c r="T240" s="300" t="str">
        <f t="shared" si="9"/>
        <v>WAGG (Washington National Guard Grant)</v>
      </c>
      <c r="U240" s="311" t="str">
        <f>""</f>
        <v/>
      </c>
      <c r="V240" s="293"/>
      <c r="W240" s="293"/>
      <c r="X240" s="314"/>
    </row>
    <row r="241" spans="20:24" x14ac:dyDescent="0.25">
      <c r="T241" s="300" t="str">
        <f t="shared" si="9"/>
        <v>WSOS (Washington State Opportunity Scholarship)</v>
      </c>
      <c r="U241" s="311" t="str">
        <f>""</f>
        <v/>
      </c>
      <c r="V241" s="293"/>
      <c r="W241" s="293"/>
      <c r="X241" s="314"/>
    </row>
    <row r="242" spans="20:24" x14ac:dyDescent="0.25">
      <c r="T242" s="300" t="str">
        <f t="shared" si="9"/>
        <v>WSDT (Washington Student Teaching Grant)</v>
      </c>
      <c r="U242" s="311" t="str">
        <f>""</f>
        <v/>
      </c>
      <c r="V242" s="293"/>
      <c r="W242" s="293"/>
      <c r="X242" s="314"/>
    </row>
    <row r="243" spans="20:24" x14ac:dyDescent="0.25">
      <c r="T243" s="300" t="str">
        <f t="shared" si="9"/>
        <v>COBFAC (College of Business Faculty)</v>
      </c>
      <c r="U243" s="292" t="s">
        <v>551</v>
      </c>
      <c r="V243" s="293"/>
      <c r="W243" s="293"/>
      <c r="X243" s="314"/>
    </row>
    <row r="244" spans="20:24" x14ac:dyDescent="0.25">
      <c r="T244" s="300" t="str">
        <f t="shared" si="9"/>
        <v>DEVCAR (Dev Cares Scholarship)</v>
      </c>
      <c r="U244" s="292" t="s">
        <v>551</v>
      </c>
      <c r="V244" s="293"/>
      <c r="W244" s="293"/>
      <c r="X244" s="314"/>
    </row>
    <row r="245" spans="20:24" x14ac:dyDescent="0.25">
      <c r="T245" s="300" t="str">
        <f t="shared" si="9"/>
        <v>DTEACH (Demonstrating Teaching)</v>
      </c>
      <c r="U245" s="292" t="s">
        <v>551</v>
      </c>
      <c r="V245" s="293"/>
      <c r="W245" s="293"/>
      <c r="X245" s="314"/>
    </row>
    <row r="246" spans="20:24" x14ac:dyDescent="0.25">
      <c r="T246" s="300" t="str">
        <f t="shared" si="9"/>
        <v>EAF (Emergency Aid Fund)</v>
      </c>
      <c r="U246" s="292" t="s">
        <v>551</v>
      </c>
      <c r="V246" s="293"/>
      <c r="W246" s="293"/>
      <c r="X246" s="314"/>
    </row>
    <row r="247" spans="20:24" x14ac:dyDescent="0.25">
      <c r="T247" s="300" t="str">
        <f t="shared" si="9"/>
        <v>EMPGIV (Employees Give Back)</v>
      </c>
      <c r="U247" s="292" t="s">
        <v>551</v>
      </c>
      <c r="V247" s="293"/>
      <c r="W247" s="293"/>
      <c r="X247" s="314"/>
    </row>
    <row r="248" spans="20:24" x14ac:dyDescent="0.25">
      <c r="T248" s="300" t="str">
        <f t="shared" si="9"/>
        <v>FINLIT (Financial Literacy)</v>
      </c>
      <c r="U248" s="292" t="s">
        <v>551</v>
      </c>
      <c r="V248" s="293"/>
      <c r="W248" s="293"/>
      <c r="X248" s="314"/>
    </row>
    <row r="249" spans="20:24" x14ac:dyDescent="0.25">
      <c r="T249" s="300" t="str">
        <f t="shared" si="9"/>
        <v>FNO (Fellow Night Owl)</v>
      </c>
      <c r="U249" s="292" t="s">
        <v>551</v>
      </c>
      <c r="V249" s="293"/>
      <c r="W249" s="293"/>
      <c r="X249" s="314"/>
    </row>
    <row r="250" spans="20:24" x14ac:dyDescent="0.25">
      <c r="T250" s="300" t="str">
        <f t="shared" si="9"/>
        <v>GRADSP (Grad/SAP Incentive)</v>
      </c>
      <c r="U250" s="292" t="s">
        <v>551</v>
      </c>
      <c r="V250" s="293"/>
      <c r="W250" s="293"/>
      <c r="X250" s="314"/>
    </row>
    <row r="251" spans="20:24" x14ac:dyDescent="0.25">
      <c r="T251" s="300" t="str">
        <f t="shared" si="9"/>
        <v>GTF (Greater Texas Foundation)</v>
      </c>
      <c r="U251" s="292" t="s">
        <v>551</v>
      </c>
      <c r="V251" s="293"/>
      <c r="W251" s="293"/>
      <c r="X251" s="314"/>
    </row>
    <row r="252" spans="20:24" x14ac:dyDescent="0.25">
      <c r="T252" s="300" t="str">
        <f t="shared" si="9"/>
        <v>HANSF (Miller Bullen Hansen)</v>
      </c>
      <c r="U252" s="292" t="s">
        <v>551</v>
      </c>
      <c r="V252" s="293"/>
      <c r="W252" s="293"/>
      <c r="X252" s="314"/>
    </row>
    <row r="253" spans="20:24" x14ac:dyDescent="0.25">
      <c r="T253" s="300" t="str">
        <f t="shared" si="9"/>
        <v>HARDSH (Financial Support Fund)</v>
      </c>
      <c r="U253" s="292" t="s">
        <v>551</v>
      </c>
      <c r="V253" s="293"/>
      <c r="W253" s="293"/>
      <c r="X253" s="314"/>
    </row>
    <row r="254" spans="20:24" x14ac:dyDescent="0.25">
      <c r="T254" s="300" t="str">
        <f t="shared" si="9"/>
        <v>HSCHOL (Hansen Scholarship)</v>
      </c>
      <c r="U254" s="292" t="s">
        <v>551</v>
      </c>
      <c r="V254" s="293"/>
      <c r="W254" s="293"/>
      <c r="X254" s="314"/>
    </row>
    <row r="255" spans="20:24" x14ac:dyDescent="0.25">
      <c r="T255" s="300" t="str">
        <f t="shared" si="9"/>
        <v>INGRAM (John Ingram Tennessee Foundation)</v>
      </c>
      <c r="U255" s="292" t="s">
        <v>551</v>
      </c>
      <c r="V255" s="293"/>
      <c r="W255" s="293"/>
      <c r="X255" s="314"/>
    </row>
    <row r="256" spans="20:24" x14ac:dyDescent="0.25">
      <c r="T256" s="300" t="str">
        <f t="shared" si="9"/>
        <v>TGRANT (Tuition Grant)</v>
      </c>
      <c r="U256" s="292" t="s">
        <v>551</v>
      </c>
      <c r="V256" s="293"/>
      <c r="W256" s="293"/>
      <c r="X256" s="314"/>
    </row>
    <row r="257" spans="20:24" x14ac:dyDescent="0.25">
      <c r="T257" s="300" t="str">
        <f t="shared" si="9"/>
        <v>Other</v>
      </c>
      <c r="U257" s="292" t="str">
        <f>""</f>
        <v/>
      </c>
      <c r="V257" s="293"/>
      <c r="W257" s="293"/>
      <c r="X257" s="314"/>
    </row>
    <row r="258" spans="20:24" x14ac:dyDescent="0.25">
      <c r="U258" s="300"/>
    </row>
  </sheetData>
  <sheetProtection sheet="1" formatCells="0" formatColumns="0" formatRows="0" insertColumns="0" insertRows="0" autoFilter="0"/>
  <mergeCells count="23">
    <mergeCell ref="O33:P33"/>
    <mergeCell ref="C29:G34"/>
    <mergeCell ref="C23:D23"/>
    <mergeCell ref="C24:D24"/>
    <mergeCell ref="C25:D25"/>
    <mergeCell ref="C26:D26"/>
    <mergeCell ref="C27:D27"/>
    <mergeCell ref="C22:D22"/>
    <mergeCell ref="U124:AC124"/>
    <mergeCell ref="U123:AC123"/>
    <mergeCell ref="U122:AC122"/>
    <mergeCell ref="K10:O18"/>
    <mergeCell ref="K29:L29"/>
    <mergeCell ref="M29:N29"/>
    <mergeCell ref="O29:P29"/>
    <mergeCell ref="K34:L34"/>
    <mergeCell ref="M34:N34"/>
    <mergeCell ref="O34:P34"/>
    <mergeCell ref="K30:L30"/>
    <mergeCell ref="M30:N30"/>
    <mergeCell ref="O30:P30"/>
    <mergeCell ref="K33:L33"/>
    <mergeCell ref="M33:N33"/>
  </mergeCells>
  <conditionalFormatting sqref="T145">
    <cfRule type="expression" priority="12">
      <formula>"T145=AZLEAP"</formula>
    </cfRule>
    <cfRule type="expression" priority="13">
      <formula>T145 ="AZLEAP"</formula>
    </cfRule>
    <cfRule type="expression" priority="14">
      <formula>T145="AZLEAP"</formula>
    </cfRule>
  </conditionalFormatting>
  <dataValidations xWindow="210" yWindow="427" count="6">
    <dataValidation allowBlank="1" showInputMessage="1" showErrorMessage="1" prompt="ex. 2122" sqref="U14" xr:uid="{67183A03-8723-45B7-8411-704BC2EAA648}"/>
    <dataValidation allowBlank="1" showInputMessage="1" showErrorMessage="1" prompt="mm/dd/yyyy" sqref="D7:D8 D4:D5 H5 F7" xr:uid="{F98110E9-5D1C-4D82-A8DC-5ACB682BB702}"/>
    <dataValidation allowBlank="1" showInputMessage="1" showErrorMessage="1" prompt="$" sqref="D6" xr:uid="{C71F504E-841D-49E3-9058-7AE4CC653858}"/>
    <dataValidation allowBlank="1" showInputMessage="1" showErrorMessage="1" prompt="yyyymm" sqref="D3" xr:uid="{6B566A1A-22D7-47A9-87ED-DDC284FDDE49}"/>
    <dataValidation type="list" allowBlank="1" showInputMessage="1" sqref="C25:D27" xr:uid="{85F30FFF-6729-430E-B766-9D4D67B66108}">
      <formula1>$T$144:$T$198</formula1>
    </dataValidation>
    <dataValidation type="list" errorStyle="information" allowBlank="1" showInputMessage="1" sqref="C24:D24" xr:uid="{52FBF697-B859-49F6-A07D-C97B808F5F18}">
      <formula1>$T$144:$T$198</formula1>
    </dataValidation>
  </dataValidations>
  <pageMargins left="0" right="0" top="0" bottom="0" header="0" footer="0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449" r:id="rId4" name="ParentUndisbursed1st">
          <controlPr defaultSize="0" autoLine="0" linkedCell="AB108" r:id="rId5">
            <anchor moveWithCells="1">
              <from>
                <xdr:col>6</xdr:col>
                <xdr:colOff>561975</xdr:colOff>
                <xdr:row>19</xdr:row>
                <xdr:rowOff>0</xdr:rowOff>
              </from>
              <to>
                <xdr:col>6</xdr:col>
                <xdr:colOff>723900</xdr:colOff>
                <xdr:row>19</xdr:row>
                <xdr:rowOff>171450</xdr:rowOff>
              </to>
            </anchor>
          </controlPr>
        </control>
      </mc:Choice>
      <mc:Fallback>
        <control shapeId="14449" r:id="rId4" name="ParentUndisbursed1st"/>
      </mc:Fallback>
    </mc:AlternateContent>
    <mc:AlternateContent xmlns:mc="http://schemas.openxmlformats.org/markup-compatibility/2006">
      <mc:Choice Requires="x14">
        <control shapeId="14448" r:id="rId6" name="GradUndisbursed1st">
          <controlPr defaultSize="0" autoLine="0" linkedCell="AB107" r:id="rId7">
            <anchor moveWithCells="1">
              <from>
                <xdr:col>6</xdr:col>
                <xdr:colOff>561975</xdr:colOff>
                <xdr:row>18</xdr:row>
                <xdr:rowOff>0</xdr:rowOff>
              </from>
              <to>
                <xdr:col>6</xdr:col>
                <xdr:colOff>723900</xdr:colOff>
                <xdr:row>18</xdr:row>
                <xdr:rowOff>171450</xdr:rowOff>
              </to>
            </anchor>
          </controlPr>
        </control>
      </mc:Choice>
      <mc:Fallback>
        <control shapeId="14448" r:id="rId6" name="GradUndisbursed1st"/>
      </mc:Fallback>
    </mc:AlternateContent>
    <mc:AlternateContent xmlns:mc="http://schemas.openxmlformats.org/markup-compatibility/2006">
      <mc:Choice Requires="x14">
        <control shapeId="14447" r:id="rId8" name="PerkinsUndisbursed1st">
          <controlPr defaultSize="0" autoLine="0" linkedCell="AB106" r:id="rId9">
            <anchor moveWithCells="1">
              <from>
                <xdr:col>6</xdr:col>
                <xdr:colOff>561975</xdr:colOff>
                <xdr:row>17</xdr:row>
                <xdr:rowOff>9525</xdr:rowOff>
              </from>
              <to>
                <xdr:col>6</xdr:col>
                <xdr:colOff>723900</xdr:colOff>
                <xdr:row>17</xdr:row>
                <xdr:rowOff>180975</xdr:rowOff>
              </to>
            </anchor>
          </controlPr>
        </control>
      </mc:Choice>
      <mc:Fallback>
        <control shapeId="14447" r:id="rId8" name="PerkinsUndisbursed1st"/>
      </mc:Fallback>
    </mc:AlternateContent>
    <mc:AlternateContent xmlns:mc="http://schemas.openxmlformats.org/markup-compatibility/2006">
      <mc:Choice Requires="x14">
        <control shapeId="14446" r:id="rId10" name="SubUndisbursed1st">
          <controlPr defaultSize="0" autoLine="0" linkedCell="AB105" r:id="rId11">
            <anchor moveWithCells="1">
              <from>
                <xdr:col>6</xdr:col>
                <xdr:colOff>561975</xdr:colOff>
                <xdr:row>16</xdr:row>
                <xdr:rowOff>28575</xdr:rowOff>
              </from>
              <to>
                <xdr:col>6</xdr:col>
                <xdr:colOff>723900</xdr:colOff>
                <xdr:row>17</xdr:row>
                <xdr:rowOff>9525</xdr:rowOff>
              </to>
            </anchor>
          </controlPr>
        </control>
      </mc:Choice>
      <mc:Fallback>
        <control shapeId="14446" r:id="rId10" name="SubUndisbursed1st"/>
      </mc:Fallback>
    </mc:AlternateContent>
    <mc:AlternateContent xmlns:mc="http://schemas.openxmlformats.org/markup-compatibility/2006">
      <mc:Choice Requires="x14">
        <control shapeId="14445" r:id="rId12" name="UnsubUndisbursed1st">
          <controlPr defaultSize="0" autoLine="0" linkedCell="AB104" r:id="rId13">
            <anchor moveWithCells="1">
              <from>
                <xdr:col>6</xdr:col>
                <xdr:colOff>561975</xdr:colOff>
                <xdr:row>15</xdr:row>
                <xdr:rowOff>38100</xdr:rowOff>
              </from>
              <to>
                <xdr:col>6</xdr:col>
                <xdr:colOff>723900</xdr:colOff>
                <xdr:row>16</xdr:row>
                <xdr:rowOff>19050</xdr:rowOff>
              </to>
            </anchor>
          </controlPr>
        </control>
      </mc:Choice>
      <mc:Fallback>
        <control shapeId="14445" r:id="rId12" name="UnsubUndisbursed1st"/>
      </mc:Fallback>
    </mc:AlternateContent>
    <mc:AlternateContent xmlns:mc="http://schemas.openxmlformats.org/markup-compatibility/2006">
      <mc:Choice Requires="x14">
        <control shapeId="14444" r:id="rId14" name="ParentUndisbursed2nd">
          <controlPr defaultSize="0" autoLine="0" linkedCell="AD108" r:id="rId15">
            <anchor moveWithCells="1">
              <from>
                <xdr:col>9</xdr:col>
                <xdr:colOff>47625</xdr:colOff>
                <xdr:row>19</xdr:row>
                <xdr:rowOff>19050</xdr:rowOff>
              </from>
              <to>
                <xdr:col>9</xdr:col>
                <xdr:colOff>209550</xdr:colOff>
                <xdr:row>20</xdr:row>
                <xdr:rowOff>0</xdr:rowOff>
              </to>
            </anchor>
          </controlPr>
        </control>
      </mc:Choice>
      <mc:Fallback>
        <control shapeId="14444" r:id="rId14" name="ParentUndisbursed2nd"/>
      </mc:Fallback>
    </mc:AlternateContent>
    <mc:AlternateContent xmlns:mc="http://schemas.openxmlformats.org/markup-compatibility/2006">
      <mc:Choice Requires="x14">
        <control shapeId="14443" r:id="rId16" name="GradUndisbursed2nd">
          <controlPr defaultSize="0" autoLine="0" linkedCell="AD107" r:id="rId17">
            <anchor moveWithCells="1">
              <from>
                <xdr:col>9</xdr:col>
                <xdr:colOff>47625</xdr:colOff>
                <xdr:row>18</xdr:row>
                <xdr:rowOff>19050</xdr:rowOff>
              </from>
              <to>
                <xdr:col>9</xdr:col>
                <xdr:colOff>209550</xdr:colOff>
                <xdr:row>19</xdr:row>
                <xdr:rowOff>0</xdr:rowOff>
              </to>
            </anchor>
          </controlPr>
        </control>
      </mc:Choice>
      <mc:Fallback>
        <control shapeId="14443" r:id="rId16" name="GradUndisbursed2nd"/>
      </mc:Fallback>
    </mc:AlternateContent>
    <mc:AlternateContent xmlns:mc="http://schemas.openxmlformats.org/markup-compatibility/2006">
      <mc:Choice Requires="x14">
        <control shapeId="14442" r:id="rId18" name="PerkinsUndisbursed2nd">
          <controlPr defaultSize="0" autoLine="0" linkedCell="AD106" r:id="rId19">
            <anchor moveWithCells="1">
              <from>
                <xdr:col>9</xdr:col>
                <xdr:colOff>47625</xdr:colOff>
                <xdr:row>17</xdr:row>
                <xdr:rowOff>28575</xdr:rowOff>
              </from>
              <to>
                <xdr:col>9</xdr:col>
                <xdr:colOff>209550</xdr:colOff>
                <xdr:row>18</xdr:row>
                <xdr:rowOff>9525</xdr:rowOff>
              </to>
            </anchor>
          </controlPr>
        </control>
      </mc:Choice>
      <mc:Fallback>
        <control shapeId="14442" r:id="rId18" name="PerkinsUndisbursed2nd"/>
      </mc:Fallback>
    </mc:AlternateContent>
    <mc:AlternateContent xmlns:mc="http://schemas.openxmlformats.org/markup-compatibility/2006">
      <mc:Choice Requires="x14">
        <control shapeId="14441" r:id="rId20" name="SubUndisbursed2nd">
          <controlPr defaultSize="0" autoLine="0" linkedCell="AD105" r:id="rId21">
            <anchor moveWithCells="1">
              <from>
                <xdr:col>9</xdr:col>
                <xdr:colOff>47625</xdr:colOff>
                <xdr:row>16</xdr:row>
                <xdr:rowOff>19050</xdr:rowOff>
              </from>
              <to>
                <xdr:col>9</xdr:col>
                <xdr:colOff>209550</xdr:colOff>
                <xdr:row>17</xdr:row>
                <xdr:rowOff>0</xdr:rowOff>
              </to>
            </anchor>
          </controlPr>
        </control>
      </mc:Choice>
      <mc:Fallback>
        <control shapeId="14441" r:id="rId20" name="SubUndisbursed2nd"/>
      </mc:Fallback>
    </mc:AlternateContent>
    <mc:AlternateContent xmlns:mc="http://schemas.openxmlformats.org/markup-compatibility/2006">
      <mc:Choice Requires="x14">
        <control shapeId="14440" r:id="rId22" name="UnsubUndisbursed2nd">
          <controlPr defaultSize="0" autoLine="0" linkedCell="AD104" r:id="rId23">
            <anchor moveWithCells="1">
              <from>
                <xdr:col>9</xdr:col>
                <xdr:colOff>47625</xdr:colOff>
                <xdr:row>15</xdr:row>
                <xdr:rowOff>19050</xdr:rowOff>
              </from>
              <to>
                <xdr:col>9</xdr:col>
                <xdr:colOff>209550</xdr:colOff>
                <xdr:row>16</xdr:row>
                <xdr:rowOff>0</xdr:rowOff>
              </to>
            </anchor>
          </controlPr>
        </control>
      </mc:Choice>
      <mc:Fallback>
        <control shapeId="14440" r:id="rId22" name="UnsubUndisbursed2nd"/>
      </mc:Fallback>
    </mc:AlternateContent>
    <mc:AlternateContent xmlns:mc="http://schemas.openxmlformats.org/markup-compatibility/2006">
      <mc:Choice Requires="x14">
        <control shapeId="14382" r:id="rId24" name="AY">
          <controlPr defaultSize="0" autoLine="0" autoPict="0" linkedCell="U12" listFillRange="U13:U15" r:id="rId25">
            <anchor moveWithCells="1">
              <from>
                <xdr:col>4</xdr:col>
                <xdr:colOff>428625</xdr:colOff>
                <xdr:row>1</xdr:row>
                <xdr:rowOff>47625</xdr:rowOff>
              </from>
              <to>
                <xdr:col>5</xdr:col>
                <xdr:colOff>219075</xdr:colOff>
                <xdr:row>1</xdr:row>
                <xdr:rowOff>285750</xdr:rowOff>
              </to>
            </anchor>
          </controlPr>
        </control>
      </mc:Choice>
      <mc:Fallback>
        <control shapeId="14382" r:id="rId24" name="AY"/>
      </mc:Fallback>
    </mc:AlternateContent>
    <mc:AlternateContent xmlns:mc="http://schemas.openxmlformats.org/markup-compatibility/2006">
      <mc:Choice Requires="x14">
        <control shapeId="14381" r:id="rId26" name="T1Parent">
          <controlPr defaultSize="0" autoLine="0" linkedCell="Z101" r:id="rId27">
            <anchor moveWithCells="1">
              <from>
                <xdr:col>4</xdr:col>
                <xdr:colOff>657225</xdr:colOff>
                <xdr:row>19</xdr:row>
                <xdr:rowOff>28575</xdr:rowOff>
              </from>
              <to>
                <xdr:col>4</xdr:col>
                <xdr:colOff>809625</xdr:colOff>
                <xdr:row>19</xdr:row>
                <xdr:rowOff>180975</xdr:rowOff>
              </to>
            </anchor>
          </controlPr>
        </control>
      </mc:Choice>
      <mc:Fallback>
        <control shapeId="14381" r:id="rId26" name="T1Parent"/>
      </mc:Fallback>
    </mc:AlternateContent>
    <mc:AlternateContent xmlns:mc="http://schemas.openxmlformats.org/markup-compatibility/2006">
      <mc:Choice Requires="x14">
        <control shapeId="14380" r:id="rId28" name="T1Grad">
          <controlPr defaultSize="0" autoLine="0" linkedCell="Z100" r:id="rId27">
            <anchor moveWithCells="1">
              <from>
                <xdr:col>4</xdr:col>
                <xdr:colOff>657225</xdr:colOff>
                <xdr:row>18</xdr:row>
                <xdr:rowOff>28575</xdr:rowOff>
              </from>
              <to>
                <xdr:col>4</xdr:col>
                <xdr:colOff>809625</xdr:colOff>
                <xdr:row>18</xdr:row>
                <xdr:rowOff>180975</xdr:rowOff>
              </to>
            </anchor>
          </controlPr>
        </control>
      </mc:Choice>
      <mc:Fallback>
        <control shapeId="14380" r:id="rId28" name="T1Grad"/>
      </mc:Fallback>
    </mc:AlternateContent>
    <mc:AlternateContent xmlns:mc="http://schemas.openxmlformats.org/markup-compatibility/2006">
      <mc:Choice Requires="x14">
        <control shapeId="14379" r:id="rId29" name="T1Perk">
          <controlPr defaultSize="0" autoLine="0" linkedCell="Z99" r:id="rId30">
            <anchor moveWithCells="1">
              <from>
                <xdr:col>4</xdr:col>
                <xdr:colOff>666750</xdr:colOff>
                <xdr:row>17</xdr:row>
                <xdr:rowOff>19050</xdr:rowOff>
              </from>
              <to>
                <xdr:col>4</xdr:col>
                <xdr:colOff>809625</xdr:colOff>
                <xdr:row>17</xdr:row>
                <xdr:rowOff>180975</xdr:rowOff>
              </to>
            </anchor>
          </controlPr>
        </control>
      </mc:Choice>
      <mc:Fallback>
        <control shapeId="14379" r:id="rId29" name="T1Perk"/>
      </mc:Fallback>
    </mc:AlternateContent>
    <mc:AlternateContent xmlns:mc="http://schemas.openxmlformats.org/markup-compatibility/2006">
      <mc:Choice Requires="x14">
        <control shapeId="14378" r:id="rId31" name="T1Sub">
          <controlPr defaultSize="0" autoLine="0" linkedCell="Z98" r:id="rId32">
            <anchor moveWithCells="1">
              <from>
                <xdr:col>4</xdr:col>
                <xdr:colOff>676275</xdr:colOff>
                <xdr:row>16</xdr:row>
                <xdr:rowOff>28575</xdr:rowOff>
              </from>
              <to>
                <xdr:col>4</xdr:col>
                <xdr:colOff>809625</xdr:colOff>
                <xdr:row>16</xdr:row>
                <xdr:rowOff>180975</xdr:rowOff>
              </to>
            </anchor>
          </controlPr>
        </control>
      </mc:Choice>
      <mc:Fallback>
        <control shapeId="14378" r:id="rId31" name="T1Sub"/>
      </mc:Fallback>
    </mc:AlternateContent>
    <mc:AlternateContent xmlns:mc="http://schemas.openxmlformats.org/markup-compatibility/2006">
      <mc:Choice Requires="x14">
        <control shapeId="14377" r:id="rId33" name="T1Unsub">
          <controlPr defaultSize="0" autoLine="0" linkedCell="Z97" r:id="rId32">
            <anchor moveWithCells="1">
              <from>
                <xdr:col>4</xdr:col>
                <xdr:colOff>676275</xdr:colOff>
                <xdr:row>15</xdr:row>
                <xdr:rowOff>38100</xdr:rowOff>
              </from>
              <to>
                <xdr:col>4</xdr:col>
                <xdr:colOff>809625</xdr:colOff>
                <xdr:row>16</xdr:row>
                <xdr:rowOff>0</xdr:rowOff>
              </to>
            </anchor>
          </controlPr>
        </control>
      </mc:Choice>
      <mc:Fallback>
        <control shapeId="14377" r:id="rId33" name="T1Unsub"/>
      </mc:Fallback>
    </mc:AlternateContent>
    <mc:AlternateContent xmlns:mc="http://schemas.openxmlformats.org/markup-compatibility/2006">
      <mc:Choice Requires="x14">
        <control shapeId="14372" r:id="rId34" name="Term2">
          <controlPr defaultSize="0" autoLine="0" autoPict="0" linkedCell="U2" r:id="rId35">
            <anchor moveWithCells="1" sizeWithCells="1">
              <from>
                <xdr:col>3</xdr:col>
                <xdr:colOff>38100</xdr:colOff>
                <xdr:row>1</xdr:row>
                <xdr:rowOff>38100</xdr:rowOff>
              </from>
              <to>
                <xdr:col>4</xdr:col>
                <xdr:colOff>0</xdr:colOff>
                <xdr:row>1</xdr:row>
                <xdr:rowOff>323850</xdr:rowOff>
              </to>
            </anchor>
          </controlPr>
        </control>
      </mc:Choice>
      <mc:Fallback>
        <control shapeId="14372" r:id="rId34" name="Term2"/>
      </mc:Fallback>
    </mc:AlternateContent>
    <mc:AlternateContent xmlns:mc="http://schemas.openxmlformats.org/markup-compatibility/2006">
      <mc:Choice Requires="x14">
        <control shapeId="14371" r:id="rId36" name="Term1">
          <controlPr defaultSize="0" autoLine="0" autoPict="0" linkedCell="T2" r:id="rId37">
            <anchor moveWithCells="1" sizeWithCells="1">
              <from>
                <xdr:col>2</xdr:col>
                <xdr:colOff>38100</xdr:colOff>
                <xdr:row>1</xdr:row>
                <xdr:rowOff>38100</xdr:rowOff>
              </from>
              <to>
                <xdr:col>2</xdr:col>
                <xdr:colOff>771525</xdr:colOff>
                <xdr:row>2</xdr:row>
                <xdr:rowOff>0</xdr:rowOff>
              </to>
            </anchor>
          </controlPr>
        </control>
      </mc:Choice>
      <mc:Fallback>
        <control shapeId="14371" r:id="rId36" name="Term1"/>
      </mc:Fallback>
    </mc:AlternateContent>
    <mc:AlternateContent xmlns:mc="http://schemas.openxmlformats.org/markup-compatibility/2006">
      <mc:Choice Requires="x14">
        <control shapeId="14351" r:id="rId38" name="OneTermAward">
          <controlPr defaultSize="0" autoLine="0" linkedCell="W100" r:id="rId39">
            <anchor moveWithCells="1">
              <from>
                <xdr:col>1</xdr:col>
                <xdr:colOff>161925</xdr:colOff>
                <xdr:row>14</xdr:row>
                <xdr:rowOff>28575</xdr:rowOff>
              </from>
              <to>
                <xdr:col>3</xdr:col>
                <xdr:colOff>66675</xdr:colOff>
                <xdr:row>14</xdr:row>
                <xdr:rowOff>257175</xdr:rowOff>
              </to>
            </anchor>
          </controlPr>
        </control>
      </mc:Choice>
      <mc:Fallback>
        <control shapeId="14351" r:id="rId38" name="OneTermAward"/>
      </mc:Fallback>
    </mc:AlternateContent>
    <mc:AlternateContent xmlns:mc="http://schemas.openxmlformats.org/markup-compatibility/2006">
      <mc:Choice Requires="x14">
        <control shapeId="14373" r:id="rId40" name="Est">
          <controlPr defaultSize="0" autoLine="0" autoPict="0" linkedCell="Z16" r:id="rId41">
            <anchor moveWithCells="1">
              <from>
                <xdr:col>6</xdr:col>
                <xdr:colOff>38100</xdr:colOff>
                <xdr:row>9</xdr:row>
                <xdr:rowOff>104775</xdr:rowOff>
              </from>
              <to>
                <xdr:col>7</xdr:col>
                <xdr:colOff>95250</xdr:colOff>
                <xdr:row>9</xdr:row>
                <xdr:rowOff>400050</xdr:rowOff>
              </to>
            </anchor>
          </controlPr>
        </control>
      </mc:Choice>
      <mc:Fallback>
        <control shapeId="14373" r:id="rId40" name="Est"/>
      </mc:Fallback>
    </mc:AlternateContent>
    <mc:AlternateContent xmlns:mc="http://schemas.openxmlformats.org/markup-compatibility/2006">
      <mc:Choice Requires="x14">
        <control shapeId="14383" r:id="rId42" name="MiscNotes">
          <controlPr defaultSize="0" autoLine="0" autoPict="0" linkedCell="T120" listFillRange="T122:T141" r:id="rId43">
            <anchor moveWithCells="1">
              <from>
                <xdr:col>11</xdr:col>
                <xdr:colOff>428625</xdr:colOff>
                <xdr:row>1</xdr:row>
                <xdr:rowOff>66675</xdr:rowOff>
              </from>
              <to>
                <xdr:col>13</xdr:col>
                <xdr:colOff>1400175</xdr:colOff>
                <xdr:row>1</xdr:row>
                <xdr:rowOff>314325</xdr:rowOff>
              </to>
            </anchor>
          </controlPr>
        </control>
      </mc:Choice>
      <mc:Fallback>
        <control shapeId="14383" r:id="rId42" name="MiscNotes"/>
      </mc:Fallback>
    </mc:AlternateContent>
    <mc:AlternateContent xmlns:mc="http://schemas.openxmlformats.org/markup-compatibility/2006">
      <mc:Choice Requires="x14">
        <control shapeId="14384" r:id="rId44" name="Undisbursed">
          <controlPr defaultSize="0" autoLine="0" linkedCell="AC97" r:id="rId45">
            <anchor moveWithCells="1">
              <from>
                <xdr:col>3</xdr:col>
                <xdr:colOff>200025</xdr:colOff>
                <xdr:row>14</xdr:row>
                <xdr:rowOff>28575</xdr:rowOff>
              </from>
              <to>
                <xdr:col>5</xdr:col>
                <xdr:colOff>9525</xdr:colOff>
                <xdr:row>14</xdr:row>
                <xdr:rowOff>266700</xdr:rowOff>
              </to>
            </anchor>
          </controlPr>
        </control>
      </mc:Choice>
      <mc:Fallback>
        <control shapeId="14384" r:id="rId44" name="Undisbursed"/>
      </mc:Fallback>
    </mc:AlternateContent>
    <mc:AlternateContent xmlns:mc="http://schemas.openxmlformats.org/markup-compatibility/2006">
      <mc:Choice Requires="x14">
        <control shapeId="14385" r:id="rId46" name="T1Teach">
          <controlPr defaultSize="0" autoLine="0" linkedCell="AB100" r:id="rId32">
            <anchor moveWithCells="1">
              <from>
                <xdr:col>4</xdr:col>
                <xdr:colOff>685800</xdr:colOff>
                <xdr:row>13</xdr:row>
                <xdr:rowOff>38100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4385" r:id="rId46" name="T1Teach"/>
      </mc:Fallback>
    </mc:AlternateContent>
    <mc:AlternateContent xmlns:mc="http://schemas.openxmlformats.org/markup-compatibility/2006">
      <mc:Choice Requires="x14">
        <control shapeId="14386" r:id="rId47" name="T1FSEOG">
          <controlPr defaultSize="0" autoLine="0" linkedCell="AB99" r:id="rId32">
            <anchor moveWithCells="1">
              <from>
                <xdr:col>4</xdr:col>
                <xdr:colOff>685800</xdr:colOff>
                <xdr:row>12</xdr:row>
                <xdr:rowOff>38100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386" r:id="rId47" name="T1FSEOG"/>
      </mc:Fallback>
    </mc:AlternateContent>
    <mc:AlternateContent xmlns:mc="http://schemas.openxmlformats.org/markup-compatibility/2006">
      <mc:Choice Requires="x14">
        <control shapeId="14387" r:id="rId48" name="T1Grant">
          <controlPr defaultSize="0" autoLine="0" linkedCell="AB98" r:id="rId32">
            <anchor moveWithCells="1">
              <from>
                <xdr:col>4</xdr:col>
                <xdr:colOff>685800</xdr:colOff>
                <xdr:row>11</xdr:row>
                <xdr:rowOff>28575</xdr:rowOff>
              </from>
              <to>
                <xdr:col>5</xdr:col>
                <xdr:colOff>0</xdr:colOff>
                <xdr:row>11</xdr:row>
                <xdr:rowOff>180975</xdr:rowOff>
              </to>
            </anchor>
          </controlPr>
        </control>
      </mc:Choice>
      <mc:Fallback>
        <control shapeId="14387" r:id="rId48" name="T1Grant"/>
      </mc:Fallback>
    </mc:AlternateContent>
    <mc:AlternateContent xmlns:mc="http://schemas.openxmlformats.org/markup-compatibility/2006">
      <mc:Choice Requires="x14">
        <control shapeId="14388" r:id="rId49" name="T1Pell">
          <controlPr defaultSize="0" autoLine="0" linkedCell="AB97" r:id="rId32">
            <anchor moveWithCells="1">
              <from>
                <xdr:col>4</xdr:col>
                <xdr:colOff>685800</xdr:colOff>
                <xdr:row>10</xdr:row>
                <xdr:rowOff>38100</xdr:rowOff>
              </from>
              <to>
                <xdr:col>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4388" r:id="rId49" name="T1Pell"/>
      </mc:Fallback>
    </mc:AlternateContent>
    <mc:AlternateContent xmlns:mc="http://schemas.openxmlformats.org/markup-compatibility/2006">
      <mc:Choice Requires="x14">
        <control shapeId="14389" r:id="rId50" name="Unsub1T">
          <controlPr defaultSize="0" autoLine="0" linkedCell="AC113" r:id="rId51">
            <anchor moveWithCells="1">
              <from>
                <xdr:col>1</xdr:col>
                <xdr:colOff>161925</xdr:colOff>
                <xdr:row>15</xdr:row>
                <xdr:rowOff>19050</xdr:rowOff>
              </from>
              <to>
                <xdr:col>2</xdr:col>
                <xdr:colOff>0</xdr:colOff>
                <xdr:row>15</xdr:row>
                <xdr:rowOff>171450</xdr:rowOff>
              </to>
            </anchor>
          </controlPr>
        </control>
      </mc:Choice>
      <mc:Fallback>
        <control shapeId="14389" r:id="rId50" name="Unsub1T"/>
      </mc:Fallback>
    </mc:AlternateContent>
    <mc:AlternateContent xmlns:mc="http://schemas.openxmlformats.org/markup-compatibility/2006">
      <mc:Choice Requires="x14">
        <control shapeId="14390" r:id="rId52" name="Sub1T">
          <controlPr defaultSize="0" autoLine="0" linkedCell="AC114" r:id="rId53">
            <anchor moveWithCells="1">
              <from>
                <xdr:col>1</xdr:col>
                <xdr:colOff>161925</xdr:colOff>
                <xdr:row>16</xdr:row>
                <xdr:rowOff>28575</xdr:rowOff>
              </from>
              <to>
                <xdr:col>2</xdr:col>
                <xdr:colOff>0</xdr:colOff>
                <xdr:row>16</xdr:row>
                <xdr:rowOff>180975</xdr:rowOff>
              </to>
            </anchor>
          </controlPr>
        </control>
      </mc:Choice>
      <mc:Fallback>
        <control shapeId="14390" r:id="rId52" name="Sub1T"/>
      </mc:Fallback>
    </mc:AlternateContent>
    <mc:AlternateContent xmlns:mc="http://schemas.openxmlformats.org/markup-compatibility/2006">
      <mc:Choice Requires="x14">
        <control shapeId="14391" r:id="rId54" name="Perk1T">
          <controlPr defaultSize="0" autoLine="0" linkedCell="AC115" r:id="rId55">
            <anchor moveWithCells="1">
              <from>
                <xdr:col>1</xdr:col>
                <xdr:colOff>161925</xdr:colOff>
                <xdr:row>17</xdr:row>
                <xdr:rowOff>28575</xdr:rowOff>
              </from>
              <to>
                <xdr:col>2</xdr:col>
                <xdr:colOff>0</xdr:colOff>
                <xdr:row>17</xdr:row>
                <xdr:rowOff>180975</xdr:rowOff>
              </to>
            </anchor>
          </controlPr>
        </control>
      </mc:Choice>
      <mc:Fallback>
        <control shapeId="14391" r:id="rId54" name="Perk1T"/>
      </mc:Fallback>
    </mc:AlternateContent>
    <mc:AlternateContent xmlns:mc="http://schemas.openxmlformats.org/markup-compatibility/2006">
      <mc:Choice Requires="x14">
        <control shapeId="14392" r:id="rId56" name="Grad1T">
          <controlPr defaultSize="0" autoLine="0" linkedCell="AC116" r:id="rId57">
            <anchor moveWithCells="1">
              <from>
                <xdr:col>1</xdr:col>
                <xdr:colOff>161925</xdr:colOff>
                <xdr:row>18</xdr:row>
                <xdr:rowOff>28575</xdr:rowOff>
              </from>
              <to>
                <xdr:col>2</xdr:col>
                <xdr:colOff>0</xdr:colOff>
                <xdr:row>18</xdr:row>
                <xdr:rowOff>180975</xdr:rowOff>
              </to>
            </anchor>
          </controlPr>
        </control>
      </mc:Choice>
      <mc:Fallback>
        <control shapeId="14392" r:id="rId56" name="Grad1T"/>
      </mc:Fallback>
    </mc:AlternateContent>
    <mc:AlternateContent xmlns:mc="http://schemas.openxmlformats.org/markup-compatibility/2006">
      <mc:Choice Requires="x14">
        <control shapeId="14393" r:id="rId58" name="Parent1T">
          <controlPr defaultSize="0" autoLine="0" linkedCell="AC117" r:id="rId59">
            <anchor moveWithCells="1">
              <from>
                <xdr:col>1</xdr:col>
                <xdr:colOff>161925</xdr:colOff>
                <xdr:row>19</xdr:row>
                <xdr:rowOff>28575</xdr:rowOff>
              </from>
              <to>
                <xdr:col>2</xdr:col>
                <xdr:colOff>0</xdr:colOff>
                <xdr:row>19</xdr:row>
                <xdr:rowOff>180975</xdr:rowOff>
              </to>
            </anchor>
          </controlPr>
        </control>
      </mc:Choice>
      <mc:Fallback>
        <control shapeId="14393" r:id="rId58" name="Parent1T"/>
      </mc:Fallback>
    </mc:AlternateContent>
    <mc:AlternateContent xmlns:mc="http://schemas.openxmlformats.org/markup-compatibility/2006">
      <mc:Choice Requires="x14">
        <control shapeId="14436" r:id="rId60" name="FirstTerm">
          <controlPr defaultSize="0" autoLine="0" linkedCell="Y202" r:id="rId61">
            <anchor moveWithCells="1">
              <from>
                <xdr:col>5</xdr:col>
                <xdr:colOff>47625</xdr:colOff>
                <xdr:row>21</xdr:row>
                <xdr:rowOff>76200</xdr:rowOff>
              </from>
              <to>
                <xdr:col>6</xdr:col>
                <xdr:colOff>28575</xdr:colOff>
                <xdr:row>21</xdr:row>
                <xdr:rowOff>314325</xdr:rowOff>
              </to>
            </anchor>
          </controlPr>
        </control>
      </mc:Choice>
      <mc:Fallback>
        <control shapeId="14436" r:id="rId60" name="FirstTerm"/>
      </mc:Fallback>
    </mc:AlternateContent>
    <mc:AlternateContent xmlns:mc="http://schemas.openxmlformats.org/markup-compatibility/2006">
      <mc:Choice Requires="x14">
        <control shapeId="14339" r:id="rId62" name="Button 3">
          <controlPr defaultSize="0" print="0" autoFill="0" autoPict="0" macro="[0]!WithDrawClear">
            <anchor moveWithCells="1" sizeWithCells="1">
              <from>
                <xdr:col>15</xdr:col>
                <xdr:colOff>0</xdr:colOff>
                <xdr:row>1</xdr:row>
                <xdr:rowOff>104775</xdr:rowOff>
              </from>
              <to>
                <xdr:col>15</xdr:col>
                <xdr:colOff>438150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0" r:id="rId63" name="Button 4">
          <controlPr defaultSize="0" print="0" autoFill="0" autoPict="0" macro="[0]!WithDrawCopy">
            <anchor moveWithCells="1" sizeWithCells="1">
              <from>
                <xdr:col>13</xdr:col>
                <xdr:colOff>1295400</xdr:colOff>
                <xdr:row>18</xdr:row>
                <xdr:rowOff>123825</xdr:rowOff>
              </from>
              <to>
                <xdr:col>15</xdr:col>
                <xdr:colOff>19050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75" r:id="rId64" name="Button 39">
          <controlPr defaultSize="0" print="0" autoFill="0" autoPict="0" macro="[0]!PrintToOnbase">
            <anchor moveWithCells="1" sizeWithCells="1">
              <from>
                <xdr:col>13</xdr:col>
                <xdr:colOff>1295400</xdr:colOff>
                <xdr:row>21</xdr:row>
                <xdr:rowOff>0</xdr:rowOff>
              </from>
              <to>
                <xdr:col>15</xdr:col>
                <xdr:colOff>180975</xdr:colOff>
                <xdr:row>21</xdr:row>
                <xdr:rowOff>352425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G184"/>
  <sheetViews>
    <sheetView topLeftCell="A25" zoomScaleNormal="100" workbookViewId="0">
      <selection activeCell="Y25" sqref="Y25:AI25"/>
    </sheetView>
  </sheetViews>
  <sheetFormatPr defaultColWidth="1.42578125" defaultRowHeight="15" x14ac:dyDescent="0.25"/>
  <cols>
    <col min="1" max="1" width="1.140625" customWidth="1"/>
    <col min="3" max="3" width="1.42578125" customWidth="1"/>
    <col min="34" max="34" width="2" customWidth="1"/>
    <col min="63" max="63" width="1.7109375" customWidth="1"/>
  </cols>
  <sheetData>
    <row r="1" spans="1:111" ht="18" thickBot="1" x14ac:dyDescent="0.35">
      <c r="A1" s="477" t="s">
        <v>0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479"/>
      <c r="AD1" s="479"/>
      <c r="AE1" s="479"/>
      <c r="AF1" s="479"/>
      <c r="AG1" s="479"/>
      <c r="AH1" s="479"/>
      <c r="AI1" s="479"/>
      <c r="AJ1" s="479"/>
      <c r="AK1" s="479"/>
      <c r="AL1" s="479"/>
      <c r="AM1" s="479"/>
      <c r="AN1" s="479"/>
      <c r="AO1" s="479"/>
      <c r="AP1" s="479"/>
      <c r="AQ1" s="479"/>
      <c r="AR1" s="479"/>
      <c r="AS1" s="479"/>
      <c r="AT1" s="479"/>
      <c r="AU1" s="479"/>
      <c r="AV1" s="479"/>
      <c r="AW1" s="479"/>
      <c r="AX1" s="479"/>
      <c r="AY1" s="479"/>
      <c r="AZ1" s="479"/>
      <c r="BA1" s="479"/>
      <c r="BB1" s="479"/>
      <c r="BC1" s="479"/>
      <c r="BD1" s="479"/>
      <c r="BE1" s="479"/>
      <c r="BF1" s="479"/>
      <c r="BG1" s="479"/>
      <c r="BH1" s="479"/>
      <c r="BI1" s="479"/>
      <c r="BJ1" s="479"/>
      <c r="BK1" s="480"/>
      <c r="CF1" s="75"/>
      <c r="CG1" s="75"/>
      <c r="CH1" s="75"/>
      <c r="CI1" s="75"/>
      <c r="CJ1" s="76" t="s">
        <v>190</v>
      </c>
      <c r="CK1" s="75"/>
      <c r="CL1" s="75"/>
      <c r="CM1" s="75"/>
      <c r="CN1" s="75"/>
      <c r="CO1" s="75"/>
      <c r="CP1" s="75"/>
      <c r="CQ1" s="75"/>
      <c r="CR1" s="75"/>
      <c r="CS1" s="75"/>
      <c r="CT1" s="75"/>
      <c r="CU1" s="76" t="str">
        <f>"Excel R2T4 - "&amp;Name</f>
        <v>Excel R2T4 - 0</v>
      </c>
      <c r="CV1" s="75"/>
      <c r="CW1" s="75"/>
      <c r="CX1" s="75"/>
      <c r="CY1" s="75"/>
      <c r="CZ1" s="75"/>
      <c r="DA1" s="75"/>
      <c r="DB1" s="75"/>
      <c r="DC1" s="75"/>
      <c r="DD1" s="75"/>
      <c r="DE1" s="75"/>
      <c r="DF1" s="75"/>
      <c r="DG1" s="75"/>
    </row>
    <row r="2" spans="1:111" ht="3.75" customHeight="1" thickBot="1" x14ac:dyDescent="0.35">
      <c r="A2" s="31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4"/>
    </row>
    <row r="3" spans="1:111" ht="15" customHeight="1" thickBot="1" x14ac:dyDescent="0.3">
      <c r="A3" s="481" t="s">
        <v>1</v>
      </c>
      <c r="B3" s="482"/>
      <c r="C3" s="482"/>
      <c r="D3" s="482"/>
      <c r="E3" s="482"/>
      <c r="F3" s="482"/>
      <c r="G3" s="482"/>
      <c r="H3" s="482"/>
      <c r="I3" s="482"/>
      <c r="J3" s="482"/>
      <c r="K3" s="483">
        <f>Withdrawal!H3</f>
        <v>0</v>
      </c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6"/>
      <c r="AG3" s="482" t="s">
        <v>2</v>
      </c>
      <c r="AH3" s="482"/>
      <c r="AI3" s="482"/>
      <c r="AJ3" s="482"/>
      <c r="AK3" s="482"/>
      <c r="AL3" s="482"/>
      <c r="AM3" s="482"/>
      <c r="AN3" s="482"/>
      <c r="AO3" s="482"/>
      <c r="AP3" s="482"/>
      <c r="AQ3" s="482"/>
      <c r="AR3" s="482"/>
      <c r="AS3" s="482"/>
      <c r="AT3" s="484">
        <f>Withdrawal!H4</f>
        <v>0</v>
      </c>
      <c r="AU3" s="485"/>
      <c r="AV3" s="485"/>
      <c r="AW3" s="485"/>
      <c r="AX3" s="485"/>
      <c r="AY3" s="485"/>
      <c r="AZ3" s="485"/>
      <c r="BA3" s="485"/>
      <c r="BB3" s="485"/>
      <c r="BC3" s="485"/>
      <c r="BD3" s="485"/>
      <c r="BE3" s="485"/>
      <c r="BF3" s="485"/>
      <c r="BG3" s="485"/>
      <c r="BH3" s="485"/>
      <c r="BI3" s="485"/>
      <c r="BJ3" s="486"/>
      <c r="BK3" s="35"/>
      <c r="CQ3" s="72"/>
    </row>
    <row r="4" spans="1:111" ht="20.25" customHeight="1" thickBot="1" x14ac:dyDescent="0.3">
      <c r="A4" s="469" t="s">
        <v>4</v>
      </c>
      <c r="B4" s="470"/>
      <c r="C4" s="470"/>
      <c r="D4" s="470"/>
      <c r="E4" s="470"/>
      <c r="F4" s="470"/>
      <c r="G4" s="470"/>
      <c r="H4" s="470"/>
      <c r="I4" s="470"/>
      <c r="J4" s="470"/>
      <c r="K4" s="471">
        <f ca="1">TODAY()</f>
        <v>44973</v>
      </c>
      <c r="L4" s="472"/>
      <c r="M4" s="472"/>
      <c r="N4" s="472"/>
      <c r="O4" s="472"/>
      <c r="P4" s="472"/>
      <c r="Q4" s="472"/>
      <c r="R4" s="472"/>
      <c r="S4" s="472"/>
      <c r="T4" s="472"/>
      <c r="U4" s="472"/>
      <c r="V4" s="472"/>
      <c r="W4" s="472"/>
      <c r="X4" s="472"/>
      <c r="Y4" s="472"/>
      <c r="Z4" s="472"/>
      <c r="AA4" s="472"/>
      <c r="AB4" s="472"/>
      <c r="AC4" s="472"/>
      <c r="AD4" s="473"/>
      <c r="AE4" s="470" t="s">
        <v>3</v>
      </c>
      <c r="AF4" s="470"/>
      <c r="AG4" s="470"/>
      <c r="AH4" s="470"/>
      <c r="AI4" s="470"/>
      <c r="AJ4" s="470"/>
      <c r="AK4" s="470"/>
      <c r="AL4" s="470"/>
      <c r="AM4" s="470"/>
      <c r="AN4" s="470"/>
      <c r="AO4" s="470"/>
      <c r="AP4" s="470"/>
      <c r="AQ4" s="470"/>
      <c r="AR4" s="470"/>
      <c r="AS4" s="470"/>
      <c r="AT4" s="474">
        <f>Withdrawal!D5</f>
        <v>0</v>
      </c>
      <c r="AU4" s="475"/>
      <c r="AV4" s="475"/>
      <c r="AW4" s="475"/>
      <c r="AX4" s="475"/>
      <c r="AY4" s="475"/>
      <c r="AZ4" s="475"/>
      <c r="BA4" s="475"/>
      <c r="BB4" s="475"/>
      <c r="BC4" s="475"/>
      <c r="BD4" s="475"/>
      <c r="BE4" s="475"/>
      <c r="BF4" s="475"/>
      <c r="BG4" s="475"/>
      <c r="BH4" s="475"/>
      <c r="BI4" s="475"/>
      <c r="BJ4" s="476"/>
      <c r="BK4" s="35"/>
      <c r="CQ4" s="72"/>
    </row>
    <row r="5" spans="1:111" x14ac:dyDescent="0.25">
      <c r="A5" s="461" t="s">
        <v>5</v>
      </c>
      <c r="B5" s="462"/>
      <c r="C5" s="462"/>
      <c r="D5" s="462"/>
      <c r="E5" s="462"/>
      <c r="F5" s="462"/>
      <c r="G5" s="462"/>
      <c r="H5" s="462"/>
      <c r="I5" s="462"/>
      <c r="J5" s="462"/>
      <c r="K5" s="462"/>
      <c r="L5" s="462"/>
      <c r="M5" s="462"/>
      <c r="N5" s="462"/>
      <c r="O5" s="462"/>
      <c r="P5" s="462"/>
      <c r="Q5" s="462"/>
      <c r="R5" s="462"/>
      <c r="S5" s="462"/>
      <c r="T5" s="462"/>
      <c r="U5" s="462"/>
      <c r="V5" s="462"/>
      <c r="W5" s="462"/>
      <c r="X5" s="462"/>
      <c r="Y5" s="462"/>
      <c r="Z5" s="462"/>
      <c r="AA5" s="462"/>
      <c r="AB5" s="462"/>
      <c r="AC5" s="462"/>
      <c r="AD5" s="462"/>
      <c r="AE5" s="462"/>
      <c r="AF5" s="462"/>
      <c r="AG5" s="462"/>
      <c r="AH5" s="462"/>
      <c r="AI5" s="462"/>
      <c r="AJ5" s="462"/>
      <c r="AK5" s="462"/>
      <c r="AL5" s="462"/>
      <c r="AM5" s="462"/>
      <c r="AN5" s="462"/>
      <c r="AO5" s="462"/>
      <c r="AP5" s="462"/>
      <c r="AQ5" s="462"/>
      <c r="AR5" s="462"/>
      <c r="AS5" s="462"/>
      <c r="AT5" s="462"/>
      <c r="AU5" s="462"/>
      <c r="AV5" s="462"/>
      <c r="AW5" s="462"/>
      <c r="AX5" s="462"/>
      <c r="AY5" s="462"/>
      <c r="AZ5" s="462"/>
      <c r="BA5" s="462"/>
      <c r="BB5" s="462"/>
      <c r="BC5" s="462"/>
      <c r="BD5" s="462"/>
      <c r="BE5" s="462"/>
      <c r="BF5" s="462"/>
      <c r="BG5" s="462"/>
      <c r="BH5" s="462"/>
      <c r="BI5" s="462"/>
      <c r="BJ5" s="462"/>
      <c r="BK5" s="36"/>
      <c r="CQ5" s="72"/>
    </row>
    <row r="6" spans="1:111" ht="4.5" customHeight="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CQ6" s="72"/>
    </row>
    <row r="7" spans="1:111" ht="15.75" customHeight="1" x14ac:dyDescent="0.25">
      <c r="A7" s="463" t="s">
        <v>6</v>
      </c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  <c r="AX7" s="464"/>
      <c r="AY7" s="464"/>
      <c r="AZ7" s="464"/>
      <c r="BA7" s="464"/>
      <c r="BB7" s="464"/>
      <c r="BC7" s="464"/>
      <c r="BD7" s="464"/>
      <c r="BE7" s="464"/>
      <c r="BF7" s="464"/>
      <c r="BG7" s="464"/>
      <c r="BH7" s="464"/>
      <c r="BI7" s="464"/>
      <c r="BJ7" s="464"/>
      <c r="BK7" s="465"/>
      <c r="CQ7" s="72"/>
    </row>
    <row r="8" spans="1:111" ht="12" customHeight="1" x14ac:dyDescent="0.25">
      <c r="A8" s="466"/>
      <c r="B8" s="467"/>
      <c r="C8" s="467"/>
      <c r="D8" s="467"/>
      <c r="E8" s="467"/>
      <c r="F8" s="467"/>
      <c r="G8" s="467"/>
      <c r="H8" s="467"/>
      <c r="I8" s="467"/>
      <c r="J8" s="467"/>
      <c r="K8" s="467"/>
      <c r="L8" s="467"/>
      <c r="M8" s="467"/>
      <c r="N8" s="467"/>
      <c r="O8" s="467"/>
      <c r="P8" s="467"/>
      <c r="Q8" s="467"/>
      <c r="R8" s="467"/>
      <c r="S8" s="467"/>
      <c r="T8" s="467"/>
      <c r="U8" s="467"/>
      <c r="V8" s="467"/>
      <c r="W8" s="467"/>
      <c r="X8" s="467"/>
      <c r="Y8" s="467"/>
      <c r="Z8" s="467"/>
      <c r="AA8" s="467"/>
      <c r="AB8" s="467"/>
      <c r="AC8" s="467"/>
      <c r="AD8" s="467"/>
      <c r="AE8" s="467"/>
      <c r="AF8" s="467"/>
      <c r="AG8" s="467"/>
      <c r="AH8" s="467"/>
      <c r="AI8" s="467"/>
      <c r="AJ8" s="467"/>
      <c r="AK8" s="467"/>
      <c r="AL8" s="467"/>
      <c r="AM8" s="467"/>
      <c r="AN8" s="467"/>
      <c r="AO8" s="467"/>
      <c r="AP8" s="467"/>
      <c r="AQ8" s="467"/>
      <c r="AR8" s="467"/>
      <c r="AS8" s="467"/>
      <c r="AT8" s="467"/>
      <c r="AU8" s="467"/>
      <c r="AV8" s="467"/>
      <c r="AW8" s="467"/>
      <c r="AX8" s="467"/>
      <c r="AY8" s="467"/>
      <c r="AZ8" s="467"/>
      <c r="BA8" s="467"/>
      <c r="BB8" s="467"/>
      <c r="BC8" s="467"/>
      <c r="BD8" s="467"/>
      <c r="BE8" s="467"/>
      <c r="BF8" s="467"/>
      <c r="BG8" s="467"/>
      <c r="BH8" s="467"/>
      <c r="BI8" s="467"/>
      <c r="BJ8" s="467"/>
      <c r="BK8" s="468"/>
      <c r="CQ8" s="72"/>
    </row>
    <row r="9" spans="1:111" ht="3" customHeight="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CQ9" s="72"/>
    </row>
    <row r="10" spans="1:111" ht="14.25" customHeight="1" x14ac:dyDescent="0.3">
      <c r="A10" s="496" t="s">
        <v>7</v>
      </c>
      <c r="B10" s="497"/>
      <c r="C10" s="497"/>
      <c r="D10" s="497"/>
      <c r="E10" s="497"/>
      <c r="F10" s="497"/>
      <c r="G10" s="497"/>
      <c r="H10" s="497"/>
      <c r="I10" s="497"/>
      <c r="J10" s="497"/>
      <c r="K10" s="497"/>
      <c r="L10" s="497"/>
      <c r="M10" s="498"/>
      <c r="N10" s="498"/>
      <c r="O10" s="498"/>
      <c r="P10" s="498"/>
      <c r="Q10" s="498"/>
      <c r="R10" s="498"/>
      <c r="S10" s="498"/>
      <c r="T10" s="498"/>
      <c r="U10" s="498"/>
      <c r="V10" s="498"/>
      <c r="W10" s="498"/>
      <c r="X10" s="498"/>
      <c r="Y10" s="498"/>
      <c r="Z10" s="498"/>
      <c r="AA10" s="498"/>
      <c r="AB10" s="498"/>
      <c r="AC10" s="498"/>
      <c r="AD10" s="498"/>
      <c r="AE10" s="498"/>
      <c r="AF10" s="498"/>
      <c r="AG10" s="498"/>
      <c r="AH10" s="498"/>
      <c r="AI10" s="498"/>
      <c r="AJ10" s="498"/>
      <c r="AK10" s="49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D10" s="498"/>
      <c r="BE10" s="498"/>
      <c r="BF10" s="498"/>
      <c r="BG10" s="498"/>
      <c r="BH10" s="498"/>
      <c r="BI10" s="498"/>
      <c r="BJ10" s="498"/>
      <c r="BK10" s="499"/>
      <c r="CQ10" s="72"/>
    </row>
    <row r="11" spans="1:111" ht="22.5" customHeight="1" thickBot="1" x14ac:dyDescent="0.3">
      <c r="A11" s="500" t="s">
        <v>8</v>
      </c>
      <c r="B11" s="501"/>
      <c r="C11" s="501"/>
      <c r="D11" s="501"/>
      <c r="E11" s="501"/>
      <c r="F11" s="501"/>
      <c r="G11" s="501"/>
      <c r="H11" s="501"/>
      <c r="I11" s="501"/>
      <c r="J11" s="501"/>
      <c r="K11" s="501"/>
      <c r="L11" s="501"/>
      <c r="M11" s="501"/>
      <c r="N11" s="501"/>
      <c r="O11" s="501"/>
      <c r="P11" s="501"/>
      <c r="Q11" s="501"/>
      <c r="R11" s="501"/>
      <c r="S11" s="501"/>
      <c r="T11" s="501"/>
      <c r="U11" s="501"/>
      <c r="V11" s="38"/>
      <c r="W11" s="38"/>
      <c r="X11" s="38"/>
      <c r="Y11" s="502" t="s">
        <v>9</v>
      </c>
      <c r="Z11" s="502"/>
      <c r="AA11" s="502"/>
      <c r="AB11" s="502"/>
      <c r="AC11" s="502"/>
      <c r="AD11" s="502"/>
      <c r="AE11" s="502"/>
      <c r="AF11" s="502"/>
      <c r="AG11" s="502"/>
      <c r="AH11" s="502"/>
      <c r="AI11" s="502"/>
      <c r="AJ11" s="39"/>
      <c r="AK11" s="39"/>
      <c r="AL11" s="503" t="s">
        <v>10</v>
      </c>
      <c r="AM11" s="503"/>
      <c r="AN11" s="503"/>
      <c r="AO11" s="503"/>
      <c r="AP11" s="503"/>
      <c r="AQ11" s="503"/>
      <c r="AR11" s="503"/>
      <c r="AS11" s="503"/>
      <c r="AT11" s="503"/>
      <c r="AU11" s="503"/>
      <c r="AV11" s="503"/>
      <c r="AW11" s="503"/>
      <c r="AX11" s="39"/>
      <c r="AY11" s="40" t="s">
        <v>11</v>
      </c>
      <c r="AZ11" s="504" t="s">
        <v>12</v>
      </c>
      <c r="BA11" s="504"/>
      <c r="BB11" s="504"/>
      <c r="BC11" s="504"/>
      <c r="BD11" s="504"/>
      <c r="BE11" s="504"/>
      <c r="BF11" s="504"/>
      <c r="BG11" s="504"/>
      <c r="BH11" s="504"/>
      <c r="BI11" s="504"/>
      <c r="BJ11" s="504"/>
      <c r="BK11" s="505"/>
      <c r="CQ11" s="72"/>
    </row>
    <row r="12" spans="1:111" ht="12" customHeight="1" thickBot="1" x14ac:dyDescent="0.3">
      <c r="A12" s="487" t="s">
        <v>13</v>
      </c>
      <c r="B12" s="488"/>
      <c r="C12" s="488"/>
      <c r="D12" s="488"/>
      <c r="E12" s="488"/>
      <c r="F12" s="488"/>
      <c r="G12" s="488"/>
      <c r="H12" s="488"/>
      <c r="I12" s="488"/>
      <c r="J12" s="488"/>
      <c r="K12" s="488"/>
      <c r="L12" s="488"/>
      <c r="M12" s="488"/>
      <c r="N12" s="488"/>
      <c r="O12" s="488"/>
      <c r="P12" s="488"/>
      <c r="Q12" s="488"/>
      <c r="R12" s="488"/>
      <c r="S12" s="41"/>
      <c r="T12" s="41"/>
      <c r="U12" s="41"/>
      <c r="V12" s="41"/>
      <c r="W12" s="41"/>
      <c r="X12" s="41"/>
      <c r="Y12" s="489">
        <f>Withdrawal!$D$11</f>
        <v>0</v>
      </c>
      <c r="Z12" s="490"/>
      <c r="AA12" s="490"/>
      <c r="AB12" s="490"/>
      <c r="AC12" s="490"/>
      <c r="AD12" s="490"/>
      <c r="AE12" s="490"/>
      <c r="AF12" s="490"/>
      <c r="AG12" s="490"/>
      <c r="AH12" s="490"/>
      <c r="AI12" s="491"/>
      <c r="AJ12" s="41"/>
      <c r="AK12" s="41"/>
      <c r="AL12" s="489">
        <f>Withdrawal!$E$11</f>
        <v>0</v>
      </c>
      <c r="AM12" s="490"/>
      <c r="AN12" s="490"/>
      <c r="AO12" s="490"/>
      <c r="AP12" s="490"/>
      <c r="AQ12" s="490"/>
      <c r="AR12" s="490"/>
      <c r="AS12" s="490"/>
      <c r="AT12" s="490"/>
      <c r="AU12" s="490"/>
      <c r="AV12" s="490"/>
      <c r="AW12" s="491"/>
      <c r="AX12" s="42"/>
      <c r="AY12" s="43"/>
      <c r="AZ12" s="492" t="s">
        <v>14</v>
      </c>
      <c r="BA12" s="493"/>
      <c r="BB12" s="494">
        <f>BoxA</f>
        <v>0</v>
      </c>
      <c r="BC12" s="494"/>
      <c r="BD12" s="494"/>
      <c r="BE12" s="494"/>
      <c r="BF12" s="494"/>
      <c r="BG12" s="494"/>
      <c r="BH12" s="494"/>
      <c r="BI12" s="495"/>
      <c r="BJ12" s="42"/>
      <c r="BK12" s="35"/>
      <c r="CQ12" s="72"/>
    </row>
    <row r="13" spans="1:111" ht="12" customHeight="1" thickBot="1" x14ac:dyDescent="0.3">
      <c r="A13" s="506" t="s">
        <v>194</v>
      </c>
      <c r="B13" s="507"/>
      <c r="C13" s="507"/>
      <c r="D13" s="507"/>
      <c r="E13" s="507"/>
      <c r="F13" s="507"/>
      <c r="G13" s="507"/>
      <c r="H13" s="507"/>
      <c r="I13" s="507"/>
      <c r="J13" s="507"/>
      <c r="K13" s="507"/>
      <c r="L13" s="507"/>
      <c r="M13" s="507"/>
      <c r="N13" s="507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489">
        <f>Withdrawal!$D$12</f>
        <v>0</v>
      </c>
      <c r="Z13" s="490"/>
      <c r="AA13" s="490"/>
      <c r="AB13" s="490"/>
      <c r="AC13" s="490"/>
      <c r="AD13" s="490"/>
      <c r="AE13" s="490"/>
      <c r="AF13" s="490"/>
      <c r="AG13" s="490"/>
      <c r="AH13" s="490"/>
      <c r="AI13" s="491"/>
      <c r="AJ13" s="44"/>
      <c r="AK13" s="44"/>
      <c r="AL13" s="489">
        <f>Withdrawal!$E$12</f>
        <v>0</v>
      </c>
      <c r="AM13" s="490"/>
      <c r="AN13" s="490"/>
      <c r="AO13" s="490"/>
      <c r="AP13" s="490"/>
      <c r="AQ13" s="490"/>
      <c r="AR13" s="490"/>
      <c r="AS13" s="490"/>
      <c r="AT13" s="490"/>
      <c r="AU13" s="490"/>
      <c r="AV13" s="490"/>
      <c r="AW13" s="491"/>
      <c r="AX13" s="508" t="s">
        <v>16</v>
      </c>
      <c r="AY13" s="508"/>
      <c r="AZ13" s="509" t="s">
        <v>15</v>
      </c>
      <c r="BA13" s="510"/>
      <c r="BB13" s="511">
        <f>BoxB</f>
        <v>0</v>
      </c>
      <c r="BC13" s="511"/>
      <c r="BD13" s="511"/>
      <c r="BE13" s="511"/>
      <c r="BF13" s="511"/>
      <c r="BG13" s="511"/>
      <c r="BH13" s="511"/>
      <c r="BI13" s="512"/>
      <c r="BJ13" s="42"/>
      <c r="BK13" s="35"/>
      <c r="CQ13" s="72"/>
    </row>
    <row r="14" spans="1:111" ht="12" customHeight="1" thickBot="1" x14ac:dyDescent="0.3">
      <c r="A14" s="506" t="s">
        <v>195</v>
      </c>
      <c r="B14" s="507"/>
      <c r="C14" s="507"/>
      <c r="D14" s="507"/>
      <c r="E14" s="507"/>
      <c r="F14" s="507"/>
      <c r="G14" s="507"/>
      <c r="H14" s="507"/>
      <c r="I14" s="507"/>
      <c r="J14" s="507"/>
      <c r="K14" s="507"/>
      <c r="L14" s="507"/>
      <c r="M14" s="507"/>
      <c r="N14" s="507"/>
      <c r="O14" s="507"/>
      <c r="P14" s="507"/>
      <c r="Q14" s="507"/>
      <c r="R14" s="507"/>
      <c r="S14" s="507"/>
      <c r="T14" s="507"/>
      <c r="U14" s="507"/>
      <c r="V14" s="507"/>
      <c r="W14" s="507"/>
      <c r="X14" s="507"/>
      <c r="Y14" s="489">
        <f>Withdrawal!$D$13</f>
        <v>0</v>
      </c>
      <c r="Z14" s="490"/>
      <c r="AA14" s="490"/>
      <c r="AB14" s="490"/>
      <c r="AC14" s="490"/>
      <c r="AD14" s="490"/>
      <c r="AE14" s="490"/>
      <c r="AF14" s="490"/>
      <c r="AG14" s="490"/>
      <c r="AH14" s="490"/>
      <c r="AI14" s="491"/>
      <c r="AJ14" s="44"/>
      <c r="AK14" s="44"/>
      <c r="AL14" s="489">
        <f>Withdrawal!$E$13</f>
        <v>0</v>
      </c>
      <c r="AM14" s="490"/>
      <c r="AN14" s="490"/>
      <c r="AO14" s="490"/>
      <c r="AP14" s="490"/>
      <c r="AQ14" s="490"/>
      <c r="AR14" s="490"/>
      <c r="AS14" s="490"/>
      <c r="AT14" s="490"/>
      <c r="AU14" s="490"/>
      <c r="AV14" s="490"/>
      <c r="AW14" s="491"/>
      <c r="AX14" s="42"/>
      <c r="AY14" s="492" t="s">
        <v>11</v>
      </c>
      <c r="AZ14" s="493"/>
      <c r="BA14" s="45"/>
      <c r="BB14" s="494">
        <f>SUM(BoxA+BoxB)</f>
        <v>0</v>
      </c>
      <c r="BC14" s="494"/>
      <c r="BD14" s="494"/>
      <c r="BE14" s="494"/>
      <c r="BF14" s="494"/>
      <c r="BG14" s="494"/>
      <c r="BH14" s="494"/>
      <c r="BI14" s="495"/>
      <c r="BJ14" s="42"/>
      <c r="BK14" s="35"/>
      <c r="CQ14" s="72"/>
    </row>
    <row r="15" spans="1:111" ht="12" customHeight="1" x14ac:dyDescent="0.25">
      <c r="A15" s="521" t="s">
        <v>196</v>
      </c>
      <c r="B15" s="521"/>
      <c r="C15" s="521"/>
      <c r="D15" s="521"/>
      <c r="E15" s="521"/>
      <c r="F15" s="521"/>
      <c r="G15" s="521"/>
      <c r="H15" s="521"/>
      <c r="I15" s="521"/>
      <c r="J15" s="521"/>
      <c r="K15" s="521"/>
      <c r="L15" s="521"/>
      <c r="M15" s="521"/>
      <c r="N15" s="521"/>
      <c r="O15" s="521"/>
      <c r="P15" s="521"/>
      <c r="Q15" s="521"/>
      <c r="R15" s="521"/>
      <c r="S15" s="521"/>
      <c r="T15" s="521"/>
      <c r="U15" s="521"/>
      <c r="V15" s="521"/>
      <c r="W15" s="521"/>
      <c r="X15" s="506"/>
      <c r="Y15" s="489">
        <f>Withdrawal!$D$14</f>
        <v>0</v>
      </c>
      <c r="Z15" s="490"/>
      <c r="AA15" s="490"/>
      <c r="AB15" s="490"/>
      <c r="AC15" s="490"/>
      <c r="AD15" s="490"/>
      <c r="AE15" s="490"/>
      <c r="AF15" s="490"/>
      <c r="AG15" s="490"/>
      <c r="AH15" s="490"/>
      <c r="AI15" s="491"/>
      <c r="AJ15" s="44"/>
      <c r="AK15" s="44"/>
      <c r="AL15" s="489">
        <f>Withdrawal!$E$14</f>
        <v>0</v>
      </c>
      <c r="AM15" s="490"/>
      <c r="AN15" s="490"/>
      <c r="AO15" s="490"/>
      <c r="AP15" s="490"/>
      <c r="AQ15" s="490"/>
      <c r="AR15" s="490"/>
      <c r="AS15" s="490"/>
      <c r="AT15" s="490"/>
      <c r="AU15" s="490"/>
      <c r="AV15" s="490"/>
      <c r="AW15" s="491"/>
      <c r="AX15" s="42"/>
      <c r="AY15" s="46" t="s">
        <v>19</v>
      </c>
      <c r="AZ15" s="519" t="s">
        <v>20</v>
      </c>
      <c r="BA15" s="519"/>
      <c r="BB15" s="519"/>
      <c r="BC15" s="519"/>
      <c r="BD15" s="519"/>
      <c r="BE15" s="519"/>
      <c r="BF15" s="519"/>
      <c r="BG15" s="519"/>
      <c r="BH15" s="519"/>
      <c r="BI15" s="519"/>
      <c r="BJ15" s="519"/>
      <c r="BK15" s="520"/>
      <c r="CQ15" s="72"/>
    </row>
    <row r="16" spans="1:111" ht="12" customHeight="1" x14ac:dyDescent="0.25">
      <c r="A16" s="522"/>
      <c r="B16" s="523"/>
      <c r="C16" s="523"/>
      <c r="D16" s="523"/>
      <c r="E16" s="523"/>
      <c r="F16" s="523"/>
      <c r="G16" s="523"/>
      <c r="H16" s="523"/>
      <c r="I16" s="523"/>
      <c r="J16" s="523"/>
      <c r="K16" s="523"/>
      <c r="L16" s="523"/>
      <c r="M16" s="523"/>
      <c r="N16" s="523"/>
      <c r="O16" s="523"/>
      <c r="P16" s="523"/>
      <c r="Q16" s="523"/>
      <c r="R16" s="523"/>
      <c r="S16" s="523"/>
      <c r="T16" s="523"/>
      <c r="U16" s="523"/>
      <c r="V16" s="523"/>
      <c r="W16" s="523"/>
      <c r="X16" s="524"/>
      <c r="Y16" s="525"/>
      <c r="Z16" s="526"/>
      <c r="AA16" s="526"/>
      <c r="AB16" s="526"/>
      <c r="AC16" s="526"/>
      <c r="AD16" s="526"/>
      <c r="AE16" s="526"/>
      <c r="AF16" s="526"/>
      <c r="AG16" s="526"/>
      <c r="AH16" s="526"/>
      <c r="AI16" s="527"/>
      <c r="AJ16" s="41"/>
      <c r="AK16" s="41"/>
      <c r="AL16" s="525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7"/>
      <c r="AX16" s="42"/>
      <c r="AY16" s="42"/>
      <c r="AZ16" s="519"/>
      <c r="BA16" s="519"/>
      <c r="BB16" s="519"/>
      <c r="BC16" s="519"/>
      <c r="BD16" s="519"/>
      <c r="BE16" s="519"/>
      <c r="BF16" s="519"/>
      <c r="BG16" s="519"/>
      <c r="BH16" s="519"/>
      <c r="BI16" s="519"/>
      <c r="BJ16" s="519"/>
      <c r="BK16" s="520"/>
      <c r="CQ16" s="72"/>
    </row>
    <row r="17" spans="1:95" ht="12" customHeight="1" thickBot="1" x14ac:dyDescent="0.3">
      <c r="A17" s="513"/>
      <c r="B17" s="514"/>
      <c r="C17" s="514"/>
      <c r="D17" s="514"/>
      <c r="E17" s="514"/>
      <c r="F17" s="514"/>
      <c r="G17" s="514"/>
      <c r="H17" s="514"/>
      <c r="I17" s="514"/>
      <c r="J17" s="514"/>
      <c r="K17" s="514"/>
      <c r="L17" s="514"/>
      <c r="M17" s="514"/>
      <c r="N17" s="514"/>
      <c r="O17" s="514"/>
      <c r="P17" s="514"/>
      <c r="Q17" s="514"/>
      <c r="R17" s="514"/>
      <c r="S17" s="514"/>
      <c r="T17" s="514"/>
      <c r="U17" s="514"/>
      <c r="V17" s="514"/>
      <c r="W17" s="514"/>
      <c r="X17" s="515"/>
      <c r="Y17" s="516"/>
      <c r="Z17" s="517"/>
      <c r="AA17" s="517"/>
      <c r="AB17" s="517"/>
      <c r="AC17" s="517"/>
      <c r="AD17" s="517"/>
      <c r="AE17" s="517"/>
      <c r="AF17" s="517"/>
      <c r="AG17" s="517"/>
      <c r="AH17" s="517"/>
      <c r="AI17" s="518"/>
      <c r="AJ17" s="41"/>
      <c r="AK17" s="41"/>
      <c r="AL17" s="516"/>
      <c r="AM17" s="517"/>
      <c r="AN17" s="517"/>
      <c r="AO17" s="517"/>
      <c r="AP17" s="517"/>
      <c r="AQ17" s="517"/>
      <c r="AR17" s="517"/>
      <c r="AS17" s="517"/>
      <c r="AT17" s="517"/>
      <c r="AU17" s="517"/>
      <c r="AV17" s="517"/>
      <c r="AW17" s="518"/>
      <c r="AX17" s="42"/>
      <c r="AY17" s="42"/>
      <c r="AZ17" s="492" t="s">
        <v>14</v>
      </c>
      <c r="BA17" s="493"/>
      <c r="BB17" s="494">
        <f>BoxA</f>
        <v>0</v>
      </c>
      <c r="BC17" s="494"/>
      <c r="BD17" s="494"/>
      <c r="BE17" s="494"/>
      <c r="BF17" s="494"/>
      <c r="BG17" s="494"/>
      <c r="BH17" s="494"/>
      <c r="BI17" s="495"/>
      <c r="BJ17" s="42"/>
      <c r="BK17" s="35"/>
      <c r="CQ17" s="72"/>
    </row>
    <row r="18" spans="1:95" ht="12" customHeight="1" x14ac:dyDescent="0.25">
      <c r="A18" s="48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528" t="s">
        <v>14</v>
      </c>
      <c r="Y18" s="529"/>
      <c r="Z18" s="530">
        <f>SUM($Y$12:$AI$17)</f>
        <v>0</v>
      </c>
      <c r="AA18" s="531"/>
      <c r="AB18" s="531"/>
      <c r="AC18" s="531"/>
      <c r="AD18" s="531"/>
      <c r="AE18" s="531"/>
      <c r="AF18" s="531"/>
      <c r="AG18" s="531"/>
      <c r="AH18" s="531"/>
      <c r="AI18" s="532"/>
      <c r="AJ18" s="42"/>
      <c r="AK18" s="492" t="s">
        <v>21</v>
      </c>
      <c r="AL18" s="529"/>
      <c r="AM18" s="531">
        <f>SUM($AL$12:$AW$17)</f>
        <v>0</v>
      </c>
      <c r="AN18" s="531"/>
      <c r="AO18" s="531"/>
      <c r="AP18" s="531"/>
      <c r="AQ18" s="531"/>
      <c r="AR18" s="531"/>
      <c r="AS18" s="531"/>
      <c r="AT18" s="531"/>
      <c r="AU18" s="531"/>
      <c r="AV18" s="531"/>
      <c r="AW18" s="532"/>
      <c r="AX18" s="42"/>
      <c r="AY18" s="49" t="s">
        <v>16</v>
      </c>
      <c r="AZ18" s="492" t="s">
        <v>21</v>
      </c>
      <c r="BA18" s="493"/>
      <c r="BB18" s="494">
        <f>BoxC</f>
        <v>0</v>
      </c>
      <c r="BC18" s="494"/>
      <c r="BD18" s="494"/>
      <c r="BE18" s="494"/>
      <c r="BF18" s="494"/>
      <c r="BG18" s="494"/>
      <c r="BH18" s="494"/>
      <c r="BI18" s="495"/>
      <c r="BJ18" s="42"/>
      <c r="BK18" s="35"/>
      <c r="CQ18" s="72"/>
    </row>
    <row r="19" spans="1:95" ht="12" customHeight="1" x14ac:dyDescent="0.25">
      <c r="A19" s="48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533" t="s">
        <v>22</v>
      </c>
      <c r="Z19" s="533"/>
      <c r="AA19" s="533"/>
      <c r="AB19" s="533"/>
      <c r="AC19" s="533"/>
      <c r="AD19" s="533"/>
      <c r="AE19" s="533"/>
      <c r="AF19" s="533"/>
      <c r="AG19" s="533"/>
      <c r="AH19" s="533"/>
      <c r="AI19" s="533"/>
      <c r="AJ19" s="42"/>
      <c r="AK19" s="42"/>
      <c r="AL19" s="533" t="s">
        <v>22</v>
      </c>
      <c r="AM19" s="533"/>
      <c r="AN19" s="533"/>
      <c r="AO19" s="533"/>
      <c r="AP19" s="533"/>
      <c r="AQ19" s="533"/>
      <c r="AR19" s="533"/>
      <c r="AS19" s="533"/>
      <c r="AT19" s="533"/>
      <c r="AU19" s="533"/>
      <c r="AV19" s="533"/>
      <c r="AW19" s="533"/>
      <c r="AX19" s="42"/>
      <c r="AY19" s="492" t="s">
        <v>19</v>
      </c>
      <c r="AZ19" s="493"/>
      <c r="BA19" s="45"/>
      <c r="BB19" s="494">
        <f>BoxA+BoxC</f>
        <v>0</v>
      </c>
      <c r="BC19" s="494"/>
      <c r="BD19" s="494"/>
      <c r="BE19" s="494"/>
      <c r="BF19" s="494"/>
      <c r="BG19" s="494"/>
      <c r="BH19" s="494"/>
      <c r="BI19" s="495"/>
      <c r="BJ19" s="42"/>
      <c r="BK19" s="35"/>
      <c r="CQ19" s="72"/>
    </row>
    <row r="20" spans="1:95" ht="12" customHeight="1" x14ac:dyDescent="0.25">
      <c r="A20" s="48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35"/>
      <c r="CQ20" s="72"/>
    </row>
    <row r="21" spans="1:95" ht="21" customHeight="1" thickBot="1" x14ac:dyDescent="0.3">
      <c r="A21" s="538" t="s">
        <v>8</v>
      </c>
      <c r="B21" s="539"/>
      <c r="C21" s="539"/>
      <c r="D21" s="539"/>
      <c r="E21" s="539"/>
      <c r="F21" s="539"/>
      <c r="G21" s="539"/>
      <c r="H21" s="539"/>
      <c r="I21" s="539"/>
      <c r="J21" s="539"/>
      <c r="K21" s="539"/>
      <c r="L21" s="539"/>
      <c r="M21" s="539"/>
      <c r="N21" s="539"/>
      <c r="O21" s="539"/>
      <c r="P21" s="539"/>
      <c r="Q21" s="539"/>
      <c r="R21" s="539"/>
      <c r="S21" s="539"/>
      <c r="T21" s="539"/>
      <c r="U21" s="539"/>
      <c r="V21" s="42"/>
      <c r="W21" s="42"/>
      <c r="X21" s="42"/>
      <c r="Y21" s="540" t="s">
        <v>23</v>
      </c>
      <c r="Z21" s="540"/>
      <c r="AA21" s="540"/>
      <c r="AB21" s="540"/>
      <c r="AC21" s="540"/>
      <c r="AD21" s="540"/>
      <c r="AE21" s="540"/>
      <c r="AF21" s="540"/>
      <c r="AG21" s="540"/>
      <c r="AH21" s="540"/>
      <c r="AI21" s="540"/>
      <c r="AJ21" s="42"/>
      <c r="AK21" s="42"/>
      <c r="AL21" s="541" t="s">
        <v>24</v>
      </c>
      <c r="AM21" s="541"/>
      <c r="AN21" s="541"/>
      <c r="AO21" s="541"/>
      <c r="AP21" s="541"/>
      <c r="AQ21" s="541"/>
      <c r="AR21" s="541"/>
      <c r="AS21" s="541"/>
      <c r="AT21" s="541"/>
      <c r="AU21" s="541"/>
      <c r="AV21" s="541"/>
      <c r="AW21" s="541"/>
      <c r="AX21" s="42"/>
      <c r="AY21" s="50" t="s">
        <v>30</v>
      </c>
      <c r="AZ21" s="534" t="s">
        <v>31</v>
      </c>
      <c r="BA21" s="534"/>
      <c r="BB21" s="534"/>
      <c r="BC21" s="534"/>
      <c r="BD21" s="534"/>
      <c r="BE21" s="534"/>
      <c r="BF21" s="534"/>
      <c r="BG21" s="534"/>
      <c r="BH21" s="534"/>
      <c r="BI21" s="534"/>
      <c r="BJ21" s="534"/>
      <c r="BK21" s="535"/>
      <c r="CQ21" s="72"/>
    </row>
    <row r="22" spans="1:95" ht="12" customHeight="1" thickBot="1" x14ac:dyDescent="0.3">
      <c r="A22" s="487" t="s">
        <v>25</v>
      </c>
      <c r="B22" s="488"/>
      <c r="C22" s="488"/>
      <c r="D22" s="488"/>
      <c r="E22" s="488"/>
      <c r="F22" s="488"/>
      <c r="G22" s="488"/>
      <c r="H22" s="488"/>
      <c r="I22" s="488"/>
      <c r="J22" s="488"/>
      <c r="K22" s="488"/>
      <c r="L22" s="488"/>
      <c r="M22" s="488"/>
      <c r="N22" s="488"/>
      <c r="O22" s="488"/>
      <c r="P22" s="488"/>
      <c r="Q22" s="488"/>
      <c r="R22" s="488"/>
      <c r="S22" s="488"/>
      <c r="T22" s="488"/>
      <c r="U22" s="488"/>
      <c r="V22" s="488"/>
      <c r="W22" s="488"/>
      <c r="X22" s="488"/>
      <c r="Y22" s="489">
        <f>Withdrawal!$D$16</f>
        <v>0</v>
      </c>
      <c r="Z22" s="490"/>
      <c r="AA22" s="490"/>
      <c r="AB22" s="490"/>
      <c r="AC22" s="490"/>
      <c r="AD22" s="490"/>
      <c r="AE22" s="490"/>
      <c r="AF22" s="490"/>
      <c r="AG22" s="490"/>
      <c r="AH22" s="490"/>
      <c r="AI22" s="491"/>
      <c r="AJ22" s="41"/>
      <c r="AK22" s="41"/>
      <c r="AL22" s="489">
        <f>IF(ISBLANK(Withdrawal!$F$6),Withdrawal!$E$16,SUM(Withdrawal!$E$16&amp;Withdrawal!$F$6))</f>
        <v>0</v>
      </c>
      <c r="AM22" s="490"/>
      <c r="AN22" s="490"/>
      <c r="AO22" s="490"/>
      <c r="AP22" s="490"/>
      <c r="AQ22" s="490"/>
      <c r="AR22" s="490"/>
      <c r="AS22" s="490"/>
      <c r="AT22" s="490"/>
      <c r="AU22" s="490"/>
      <c r="AV22" s="490"/>
      <c r="AW22" s="491"/>
      <c r="AX22" s="42"/>
      <c r="AY22" s="42"/>
      <c r="AZ22" s="534"/>
      <c r="BA22" s="534"/>
      <c r="BB22" s="534"/>
      <c r="BC22" s="534"/>
      <c r="BD22" s="534"/>
      <c r="BE22" s="534"/>
      <c r="BF22" s="534"/>
      <c r="BG22" s="534"/>
      <c r="BH22" s="534"/>
      <c r="BI22" s="534"/>
      <c r="BJ22" s="534"/>
      <c r="BK22" s="535"/>
      <c r="CQ22" s="72"/>
    </row>
    <row r="23" spans="1:95" ht="12" customHeight="1" thickBot="1" x14ac:dyDescent="0.3">
      <c r="A23" s="506" t="s">
        <v>26</v>
      </c>
      <c r="B23" s="507"/>
      <c r="C23" s="507"/>
      <c r="D23" s="507"/>
      <c r="E23" s="507"/>
      <c r="F23" s="507"/>
      <c r="G23" s="507"/>
      <c r="H23" s="507"/>
      <c r="I23" s="507"/>
      <c r="J23" s="507"/>
      <c r="K23" s="507"/>
      <c r="L23" s="507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489">
        <f>Withdrawal!$D$17</f>
        <v>0</v>
      </c>
      <c r="Z23" s="490"/>
      <c r="AA23" s="490"/>
      <c r="AB23" s="490"/>
      <c r="AC23" s="490"/>
      <c r="AD23" s="490"/>
      <c r="AE23" s="490"/>
      <c r="AF23" s="490"/>
      <c r="AG23" s="490"/>
      <c r="AH23" s="490"/>
      <c r="AI23" s="491"/>
      <c r="AJ23" s="44"/>
      <c r="AK23" s="44"/>
      <c r="AL23" s="489">
        <f>IF(ISBLANK(Withdrawal!$F$5),Withdrawal!$E$17,SUM(Withdrawal!$E$17&amp;Withdrawal!$F$5))</f>
        <v>0</v>
      </c>
      <c r="AM23" s="490"/>
      <c r="AN23" s="490"/>
      <c r="AO23" s="490"/>
      <c r="AP23" s="490"/>
      <c r="AQ23" s="490"/>
      <c r="AR23" s="490"/>
      <c r="AS23" s="490"/>
      <c r="AT23" s="490"/>
      <c r="AU23" s="490"/>
      <c r="AV23" s="490"/>
      <c r="AW23" s="491"/>
      <c r="AX23" s="42"/>
      <c r="AY23" s="42"/>
      <c r="AZ23" s="492" t="s">
        <v>14</v>
      </c>
      <c r="BA23" s="493"/>
      <c r="BB23" s="536">
        <f>BoxA</f>
        <v>0</v>
      </c>
      <c r="BC23" s="536"/>
      <c r="BD23" s="536"/>
      <c r="BE23" s="536"/>
      <c r="BF23" s="536"/>
      <c r="BG23" s="536"/>
      <c r="BH23" s="536"/>
      <c r="BI23" s="537"/>
      <c r="BJ23" s="51"/>
      <c r="BK23" s="52"/>
      <c r="CQ23" s="72"/>
    </row>
    <row r="24" spans="1:95" ht="12" customHeight="1" thickBot="1" x14ac:dyDescent="0.3">
      <c r="A24" s="487" t="s">
        <v>27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8"/>
      <c r="V24" s="488"/>
      <c r="W24" s="488"/>
      <c r="X24" s="488"/>
      <c r="Y24" s="489">
        <f>Withdrawal!$D$18</f>
        <v>0</v>
      </c>
      <c r="Z24" s="490"/>
      <c r="AA24" s="490"/>
      <c r="AB24" s="490"/>
      <c r="AC24" s="490"/>
      <c r="AD24" s="490"/>
      <c r="AE24" s="490"/>
      <c r="AF24" s="490"/>
      <c r="AG24" s="490"/>
      <c r="AH24" s="490"/>
      <c r="AI24" s="491"/>
      <c r="AJ24" s="41"/>
      <c r="AK24" s="41"/>
      <c r="AL24" s="489">
        <f>Withdrawal!$E$18</f>
        <v>0</v>
      </c>
      <c r="AM24" s="490"/>
      <c r="AN24" s="490"/>
      <c r="AO24" s="490"/>
      <c r="AP24" s="490"/>
      <c r="AQ24" s="490"/>
      <c r="AR24" s="490"/>
      <c r="AS24" s="490"/>
      <c r="AT24" s="490"/>
      <c r="AU24" s="490"/>
      <c r="AV24" s="490"/>
      <c r="AW24" s="491"/>
      <c r="AX24" s="42"/>
      <c r="AY24" s="42"/>
      <c r="AZ24" s="492" t="s">
        <v>15</v>
      </c>
      <c r="BA24" s="493"/>
      <c r="BB24" s="494">
        <f>BoxB</f>
        <v>0</v>
      </c>
      <c r="BC24" s="494"/>
      <c r="BD24" s="494"/>
      <c r="BE24" s="494"/>
      <c r="BF24" s="494"/>
      <c r="BG24" s="494"/>
      <c r="BH24" s="494"/>
      <c r="BI24" s="495"/>
      <c r="BJ24" s="42"/>
      <c r="BK24" s="35"/>
      <c r="CQ24" s="72"/>
    </row>
    <row r="25" spans="1:95" ht="12" customHeight="1" thickBot="1" x14ac:dyDescent="0.3">
      <c r="A25" s="487" t="s">
        <v>28</v>
      </c>
      <c r="B25" s="488"/>
      <c r="C25" s="488"/>
      <c r="D25" s="488"/>
      <c r="E25" s="488"/>
      <c r="F25" s="488"/>
      <c r="G25" s="488"/>
      <c r="H25" s="488"/>
      <c r="I25" s="488"/>
      <c r="J25" s="488"/>
      <c r="K25" s="488"/>
      <c r="L25" s="488"/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9">
        <f>Withdrawal!$D$19</f>
        <v>0</v>
      </c>
      <c r="Z25" s="490"/>
      <c r="AA25" s="490"/>
      <c r="AB25" s="490"/>
      <c r="AC25" s="490"/>
      <c r="AD25" s="490"/>
      <c r="AE25" s="490"/>
      <c r="AF25" s="490"/>
      <c r="AG25" s="490"/>
      <c r="AH25" s="490"/>
      <c r="AI25" s="491"/>
      <c r="AJ25" s="41"/>
      <c r="AK25" s="41"/>
      <c r="AL25" s="489">
        <f>Withdrawal!$E$19</f>
        <v>0</v>
      </c>
      <c r="AM25" s="490"/>
      <c r="AN25" s="490"/>
      <c r="AO25" s="490"/>
      <c r="AP25" s="490"/>
      <c r="AQ25" s="490"/>
      <c r="AR25" s="490"/>
      <c r="AS25" s="490"/>
      <c r="AT25" s="490"/>
      <c r="AU25" s="490"/>
      <c r="AV25" s="490"/>
      <c r="AW25" s="491"/>
      <c r="AX25" s="42"/>
      <c r="AY25" s="42"/>
      <c r="AZ25" s="492" t="s">
        <v>21</v>
      </c>
      <c r="BA25" s="493"/>
      <c r="BB25" s="494">
        <f>BoxC</f>
        <v>0</v>
      </c>
      <c r="BC25" s="494"/>
      <c r="BD25" s="494"/>
      <c r="BE25" s="494"/>
      <c r="BF25" s="494"/>
      <c r="BG25" s="494"/>
      <c r="BH25" s="494"/>
      <c r="BI25" s="495"/>
      <c r="BJ25" s="42"/>
      <c r="BK25" s="35"/>
      <c r="CQ25" s="72"/>
    </row>
    <row r="26" spans="1:95" ht="12" customHeight="1" x14ac:dyDescent="0.25">
      <c r="A26" s="487" t="s">
        <v>29</v>
      </c>
      <c r="B26" s="488"/>
      <c r="C26" s="488"/>
      <c r="D26" s="488"/>
      <c r="E26" s="488"/>
      <c r="F26" s="488"/>
      <c r="G26" s="488"/>
      <c r="H26" s="488"/>
      <c r="I26" s="488"/>
      <c r="J26" s="488"/>
      <c r="K26" s="488"/>
      <c r="L26" s="488"/>
      <c r="M26" s="488"/>
      <c r="N26" s="488"/>
      <c r="O26" s="488"/>
      <c r="P26" s="488"/>
      <c r="Q26" s="488"/>
      <c r="R26" s="488"/>
      <c r="S26" s="488"/>
      <c r="T26" s="488"/>
      <c r="U26" s="488"/>
      <c r="V26" s="488"/>
      <c r="W26" s="488"/>
      <c r="X26" s="488"/>
      <c r="Y26" s="489">
        <f>Withdrawal!$D$20</f>
        <v>0</v>
      </c>
      <c r="Z26" s="490"/>
      <c r="AA26" s="490"/>
      <c r="AB26" s="490"/>
      <c r="AC26" s="490"/>
      <c r="AD26" s="490"/>
      <c r="AE26" s="490"/>
      <c r="AF26" s="490"/>
      <c r="AG26" s="490"/>
      <c r="AH26" s="490"/>
      <c r="AI26" s="491"/>
      <c r="AJ26" s="41"/>
      <c r="AK26" s="41"/>
      <c r="AL26" s="489">
        <f>Withdrawal!$E$20</f>
        <v>0</v>
      </c>
      <c r="AM26" s="490"/>
      <c r="AN26" s="490"/>
      <c r="AO26" s="490"/>
      <c r="AP26" s="490"/>
      <c r="AQ26" s="490"/>
      <c r="AR26" s="490"/>
      <c r="AS26" s="490"/>
      <c r="AT26" s="490"/>
      <c r="AU26" s="490"/>
      <c r="AV26" s="490"/>
      <c r="AW26" s="491"/>
      <c r="AX26" s="42"/>
      <c r="AY26" s="49" t="s">
        <v>16</v>
      </c>
      <c r="AZ26" s="492" t="s">
        <v>32</v>
      </c>
      <c r="BA26" s="493"/>
      <c r="BB26" s="494">
        <f>BoxD</f>
        <v>0</v>
      </c>
      <c r="BC26" s="494"/>
      <c r="BD26" s="494"/>
      <c r="BE26" s="494"/>
      <c r="BF26" s="494"/>
      <c r="BG26" s="494"/>
      <c r="BH26" s="494"/>
      <c r="BI26" s="495"/>
      <c r="BJ26" s="42"/>
      <c r="BK26" s="35"/>
      <c r="CQ26" s="72"/>
    </row>
    <row r="27" spans="1:95" ht="5.25" customHeight="1" x14ac:dyDescent="0.25">
      <c r="A27" s="48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35"/>
      <c r="CQ27" s="72"/>
    </row>
    <row r="28" spans="1:95" x14ac:dyDescent="0.25">
      <c r="A28" s="48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92" t="s">
        <v>15</v>
      </c>
      <c r="Y28" s="493"/>
      <c r="Z28" s="494">
        <f>SUM($Y$22:$AI$26)</f>
        <v>0</v>
      </c>
      <c r="AA28" s="494"/>
      <c r="AB28" s="494"/>
      <c r="AC28" s="494"/>
      <c r="AD28" s="494"/>
      <c r="AE28" s="494"/>
      <c r="AF28" s="494"/>
      <c r="AG28" s="494"/>
      <c r="AH28" s="494"/>
      <c r="AI28" s="495"/>
      <c r="AJ28" s="42"/>
      <c r="AK28" s="492" t="s">
        <v>32</v>
      </c>
      <c r="AL28" s="493"/>
      <c r="AM28" s="494">
        <f>SUM($AL$22:$AW$26)</f>
        <v>0</v>
      </c>
      <c r="AN28" s="494"/>
      <c r="AO28" s="494"/>
      <c r="AP28" s="494"/>
      <c r="AQ28" s="494"/>
      <c r="AR28" s="494"/>
      <c r="AS28" s="494"/>
      <c r="AT28" s="494"/>
      <c r="AU28" s="494"/>
      <c r="AV28" s="494"/>
      <c r="AW28" s="495"/>
      <c r="AX28" s="42"/>
      <c r="AY28" s="492" t="s">
        <v>30</v>
      </c>
      <c r="AZ28" s="493"/>
      <c r="BA28" s="45"/>
      <c r="BB28" s="494">
        <f>SUM(BoxA+BoxB+BoxC+BoxD)</f>
        <v>0</v>
      </c>
      <c r="BC28" s="494"/>
      <c r="BD28" s="494"/>
      <c r="BE28" s="494"/>
      <c r="BF28" s="494"/>
      <c r="BG28" s="494"/>
      <c r="BH28" s="494"/>
      <c r="BI28" s="495"/>
      <c r="BJ28" s="42"/>
      <c r="BK28" s="35"/>
      <c r="CQ28" s="72"/>
    </row>
    <row r="29" spans="1:95" ht="10.5" customHeight="1" x14ac:dyDescent="0.25">
      <c r="A29" s="48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533" t="s">
        <v>22</v>
      </c>
      <c r="Z29" s="533"/>
      <c r="AA29" s="533"/>
      <c r="AB29" s="533"/>
      <c r="AC29" s="533"/>
      <c r="AD29" s="533"/>
      <c r="AE29" s="533"/>
      <c r="AF29" s="533"/>
      <c r="AG29" s="533"/>
      <c r="AH29" s="533"/>
      <c r="AI29" s="533"/>
      <c r="AJ29" s="41"/>
      <c r="AK29" s="41"/>
      <c r="AL29" s="542" t="s">
        <v>22</v>
      </c>
      <c r="AM29" s="542"/>
      <c r="AN29" s="542"/>
      <c r="AO29" s="542"/>
      <c r="AP29" s="542"/>
      <c r="AQ29" s="542"/>
      <c r="AR29" s="542"/>
      <c r="AS29" s="542"/>
      <c r="AT29" s="542"/>
      <c r="AU29" s="542"/>
      <c r="AV29" s="542"/>
      <c r="AW29" s="542"/>
      <c r="AX29" s="53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36"/>
      <c r="CQ29" s="72"/>
    </row>
    <row r="30" spans="1:95" x14ac:dyDescent="0.25">
      <c r="A30" s="548" t="s">
        <v>33</v>
      </c>
      <c r="B30" s="549"/>
      <c r="C30" s="549"/>
      <c r="D30" s="549"/>
      <c r="E30" s="549"/>
      <c r="F30" s="549"/>
      <c r="G30" s="549"/>
      <c r="H30" s="549"/>
      <c r="I30" s="549"/>
      <c r="J30" s="549"/>
      <c r="K30" s="549"/>
      <c r="L30" s="549"/>
      <c r="M30" s="549"/>
      <c r="N30" s="549"/>
      <c r="O30" s="549"/>
      <c r="P30" s="549"/>
      <c r="Q30" s="549"/>
      <c r="R30" s="549"/>
      <c r="S30" s="549"/>
      <c r="T30" s="549"/>
      <c r="U30" s="549"/>
      <c r="V30" s="549"/>
      <c r="W30" s="549"/>
      <c r="X30" s="549"/>
      <c r="Y30" s="549"/>
      <c r="Z30" s="549"/>
      <c r="AA30" s="549"/>
      <c r="AB30" s="549"/>
      <c r="AC30" s="549"/>
      <c r="AD30" s="549"/>
      <c r="AE30" s="549"/>
      <c r="AF30" s="549"/>
      <c r="AG30" s="549"/>
      <c r="AH30" s="549"/>
      <c r="AI30" s="550"/>
      <c r="AJ30" s="54"/>
      <c r="AK30" s="591" t="s">
        <v>34</v>
      </c>
      <c r="AL30" s="592"/>
      <c r="AM30" s="592"/>
      <c r="AN30" s="592"/>
      <c r="AO30" s="592"/>
      <c r="AP30" s="592"/>
      <c r="AQ30" s="592"/>
      <c r="AR30" s="592"/>
      <c r="AS30" s="592"/>
      <c r="AT30" s="592"/>
      <c r="AU30" s="592"/>
      <c r="AV30" s="592"/>
      <c r="AW30" s="592"/>
      <c r="AX30" s="592"/>
      <c r="AY30" s="592"/>
      <c r="AZ30" s="592"/>
      <c r="BA30" s="592"/>
      <c r="BB30" s="592"/>
      <c r="BC30" s="592"/>
      <c r="BD30" s="592"/>
      <c r="BE30" s="592"/>
      <c r="BF30" s="592"/>
      <c r="BG30" s="592"/>
      <c r="BH30" s="592"/>
      <c r="BI30" s="592"/>
      <c r="BJ30" s="592"/>
      <c r="BK30" s="593"/>
      <c r="CQ30" s="72"/>
    </row>
    <row r="31" spans="1:95" ht="6" customHeight="1" thickBot="1" x14ac:dyDescent="0.3">
      <c r="A31" s="551"/>
      <c r="B31" s="552"/>
      <c r="C31" s="552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3"/>
      <c r="AJ31" s="55"/>
      <c r="AK31" s="56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57"/>
      <c r="CQ31" s="72"/>
    </row>
    <row r="32" spans="1:95" ht="13.5" customHeight="1" thickBot="1" x14ac:dyDescent="0.3">
      <c r="A32" s="48"/>
      <c r="B32" s="42"/>
      <c r="C32" s="554" t="e">
        <f>TEXT(Withdrawal!X7,"MM/DD/YYYY")</f>
        <v>#VALUE!</v>
      </c>
      <c r="D32" s="475"/>
      <c r="E32" s="475"/>
      <c r="F32" s="475"/>
      <c r="G32" s="475"/>
      <c r="H32" s="475"/>
      <c r="I32" s="475"/>
      <c r="J32" s="475"/>
      <c r="K32" s="475"/>
      <c r="L32" s="476"/>
      <c r="M32" s="58"/>
      <c r="N32" s="554" t="e">
        <f>TEXT(Withdrawal!T3,"MM/DD/YYYY")</f>
        <v>#VALUE!</v>
      </c>
      <c r="O32" s="475"/>
      <c r="P32" s="475"/>
      <c r="Q32" s="475"/>
      <c r="R32" s="475"/>
      <c r="S32" s="475"/>
      <c r="T32" s="475"/>
      <c r="U32" s="475"/>
      <c r="V32" s="475"/>
      <c r="W32" s="476"/>
      <c r="X32" s="58"/>
      <c r="Y32" s="554" t="str">
        <f>TEXT(Withdrawal!D4,"MM/DD/YYYY")</f>
        <v>01/00/1900</v>
      </c>
      <c r="Z32" s="475"/>
      <c r="AA32" s="475"/>
      <c r="AB32" s="475"/>
      <c r="AC32" s="475"/>
      <c r="AD32" s="475"/>
      <c r="AE32" s="475"/>
      <c r="AF32" s="475"/>
      <c r="AG32" s="475"/>
      <c r="AH32" s="476"/>
      <c r="AI32" s="35"/>
      <c r="AJ32" s="55"/>
      <c r="AK32" s="589" t="s">
        <v>63</v>
      </c>
      <c r="AL32" s="563"/>
      <c r="AM32" s="563"/>
      <c r="AN32" s="563"/>
      <c r="AO32" s="563"/>
      <c r="AP32" s="563"/>
      <c r="AQ32" s="563"/>
      <c r="AR32" s="563"/>
      <c r="AS32" s="563"/>
      <c r="AT32" s="563"/>
      <c r="AU32" s="563"/>
      <c r="AV32" s="563"/>
      <c r="AW32" s="563"/>
      <c r="AX32" s="563"/>
      <c r="AY32" s="563"/>
      <c r="AZ32" s="563"/>
      <c r="BA32" s="563"/>
      <c r="BB32" s="563"/>
      <c r="BC32" s="563"/>
      <c r="BD32" s="563"/>
      <c r="BE32" s="563"/>
      <c r="BF32" s="563"/>
      <c r="BG32" s="563"/>
      <c r="BH32" s="563"/>
      <c r="BI32" s="563"/>
      <c r="BJ32" s="563"/>
      <c r="BK32" s="590"/>
      <c r="CQ32" s="72"/>
    </row>
    <row r="33" spans="1:95" x14ac:dyDescent="0.25">
      <c r="A33" s="48"/>
      <c r="B33" s="42"/>
      <c r="C33" s="533" t="s">
        <v>35</v>
      </c>
      <c r="D33" s="533"/>
      <c r="E33" s="533"/>
      <c r="F33" s="533"/>
      <c r="G33" s="533"/>
      <c r="H33" s="533"/>
      <c r="I33" s="533"/>
      <c r="J33" s="533"/>
      <c r="K33" s="533"/>
      <c r="L33" s="533"/>
      <c r="M33" s="59"/>
      <c r="N33" s="533" t="s">
        <v>36</v>
      </c>
      <c r="O33" s="533"/>
      <c r="P33" s="533"/>
      <c r="Q33" s="533"/>
      <c r="R33" s="533"/>
      <c r="S33" s="533"/>
      <c r="T33" s="533"/>
      <c r="U33" s="533"/>
      <c r="V33" s="533"/>
      <c r="W33" s="533"/>
      <c r="X33" s="59"/>
      <c r="Y33" s="533" t="s">
        <v>37</v>
      </c>
      <c r="Z33" s="533"/>
      <c r="AA33" s="533"/>
      <c r="AB33" s="533"/>
      <c r="AC33" s="533"/>
      <c r="AD33" s="533"/>
      <c r="AE33" s="533"/>
      <c r="AF33" s="533"/>
      <c r="AG33" s="533"/>
      <c r="AH33" s="533"/>
      <c r="AI33" s="35"/>
      <c r="AJ33" s="55"/>
      <c r="AK33" s="589" t="s">
        <v>64</v>
      </c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90"/>
      <c r="CQ33" s="72"/>
    </row>
    <row r="34" spans="1:95" ht="12.75" customHeight="1" x14ac:dyDescent="0.25">
      <c r="A34" s="48"/>
      <c r="B34" s="42"/>
      <c r="C34" s="564" t="s">
        <v>38</v>
      </c>
      <c r="D34" s="564"/>
      <c r="E34" s="564"/>
      <c r="F34" s="564"/>
      <c r="G34" s="564"/>
      <c r="H34" s="564"/>
      <c r="I34" s="564"/>
      <c r="J34" s="564"/>
      <c r="K34" s="564"/>
      <c r="L34" s="564"/>
      <c r="M34" s="564"/>
      <c r="N34" s="564"/>
      <c r="O34" s="564"/>
      <c r="P34" s="564"/>
      <c r="Q34" s="564"/>
      <c r="R34" s="564"/>
      <c r="S34" s="564"/>
      <c r="T34" s="564"/>
      <c r="U34" s="564"/>
      <c r="V34" s="564"/>
      <c r="W34" s="564"/>
      <c r="X34" s="564"/>
      <c r="Y34" s="564"/>
      <c r="Z34" s="564"/>
      <c r="AA34" s="564"/>
      <c r="AB34" s="564"/>
      <c r="AC34" s="564"/>
      <c r="AD34" s="564"/>
      <c r="AE34" s="564"/>
      <c r="AF34" s="564"/>
      <c r="AG34" s="564"/>
      <c r="AH34" s="564"/>
      <c r="AI34" s="35"/>
      <c r="AJ34" s="55"/>
      <c r="AK34" s="589" t="s">
        <v>65</v>
      </c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35"/>
      <c r="CQ34" s="72"/>
    </row>
    <row r="35" spans="1:95" ht="12.75" customHeight="1" x14ac:dyDescent="0.25">
      <c r="A35" s="48"/>
      <c r="B35" s="42"/>
      <c r="C35" s="565" t="s">
        <v>39</v>
      </c>
      <c r="D35" s="565"/>
      <c r="E35" s="565"/>
      <c r="F35" s="565"/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565"/>
      <c r="S35" s="565"/>
      <c r="T35" s="565"/>
      <c r="U35" s="565"/>
      <c r="V35" s="565"/>
      <c r="W35" s="565"/>
      <c r="X35" s="565"/>
      <c r="Y35" s="565"/>
      <c r="Z35" s="565"/>
      <c r="AA35" s="565"/>
      <c r="AB35" s="565"/>
      <c r="AC35" s="565"/>
      <c r="AD35" s="565"/>
      <c r="AE35" s="565"/>
      <c r="AF35" s="565"/>
      <c r="AG35" s="565"/>
      <c r="AH35" s="565"/>
      <c r="AI35" s="35"/>
      <c r="AJ35" s="55"/>
      <c r="AK35" s="60"/>
      <c r="AL35" s="571" t="e">
        <f>BoxH</f>
        <v>#VALUE!</v>
      </c>
      <c r="AM35" s="569"/>
      <c r="AN35" s="569"/>
      <c r="AO35" s="569"/>
      <c r="AP35" s="569"/>
      <c r="AQ35" s="569"/>
      <c r="AR35" s="570"/>
      <c r="AS35" s="42"/>
      <c r="AT35" s="42"/>
      <c r="AU35" s="573">
        <f>BoxG</f>
        <v>0</v>
      </c>
      <c r="AV35" s="494"/>
      <c r="AW35" s="494"/>
      <c r="AX35" s="494"/>
      <c r="AY35" s="494"/>
      <c r="AZ35" s="494"/>
      <c r="BA35" s="495"/>
      <c r="BB35" s="42" t="s">
        <v>60</v>
      </c>
      <c r="BC35" s="492" t="s">
        <v>66</v>
      </c>
      <c r="BD35" s="493"/>
      <c r="BE35" s="587" t="e">
        <f>SUM(BoxH*BoxG)</f>
        <v>#VALUE!</v>
      </c>
      <c r="BF35" s="587"/>
      <c r="BG35" s="587"/>
      <c r="BH35" s="587"/>
      <c r="BI35" s="587"/>
      <c r="BJ35" s="588"/>
      <c r="BK35" s="35"/>
      <c r="CQ35" s="72"/>
    </row>
    <row r="36" spans="1:95" ht="12.75" customHeight="1" x14ac:dyDescent="0.25">
      <c r="A36" s="48"/>
      <c r="B36" s="42"/>
      <c r="C36" s="564" t="s">
        <v>40</v>
      </c>
      <c r="D36" s="564"/>
      <c r="E36" s="564"/>
      <c r="F36" s="564"/>
      <c r="G36" s="564"/>
      <c r="H36" s="564"/>
      <c r="I36" s="564"/>
      <c r="J36" s="564"/>
      <c r="K36" s="564"/>
      <c r="L36" s="564"/>
      <c r="M36" s="564"/>
      <c r="N36" s="564"/>
      <c r="O36" s="564"/>
      <c r="P36" s="564"/>
      <c r="Q36" s="564"/>
      <c r="R36" s="564"/>
      <c r="S36" s="564"/>
      <c r="T36" s="564"/>
      <c r="U36" s="564"/>
      <c r="V36" s="564"/>
      <c r="W36" s="564"/>
      <c r="X36" s="564"/>
      <c r="Y36" s="564"/>
      <c r="Z36" s="564"/>
      <c r="AA36" s="564"/>
      <c r="AB36" s="564"/>
      <c r="AC36" s="564"/>
      <c r="AD36" s="564"/>
      <c r="AE36" s="564"/>
      <c r="AF36" s="564"/>
      <c r="AG36" s="564"/>
      <c r="AH36" s="564"/>
      <c r="AI36" s="35"/>
      <c r="AJ36" s="55"/>
      <c r="AK36" s="61"/>
      <c r="AL36" s="572" t="s">
        <v>67</v>
      </c>
      <c r="AM36" s="572"/>
      <c r="AN36" s="572"/>
      <c r="AO36" s="572"/>
      <c r="AP36" s="572"/>
      <c r="AQ36" s="572"/>
      <c r="AR36" s="572"/>
      <c r="AS36" s="41"/>
      <c r="AT36" s="41"/>
      <c r="AU36" s="572" t="s">
        <v>68</v>
      </c>
      <c r="AV36" s="572"/>
      <c r="AW36" s="572"/>
      <c r="AX36" s="572"/>
      <c r="AY36" s="572"/>
      <c r="AZ36" s="572"/>
      <c r="BA36" s="572"/>
      <c r="BB36" s="41"/>
      <c r="BC36" s="41"/>
      <c r="BD36" s="41"/>
      <c r="BE36" s="41"/>
      <c r="BF36" s="41"/>
      <c r="BG36" s="41"/>
      <c r="BH36" s="41"/>
      <c r="BI36" s="41"/>
      <c r="BJ36" s="41"/>
      <c r="BK36" s="36"/>
      <c r="CQ36" s="72"/>
    </row>
    <row r="37" spans="1:95" ht="12.75" customHeight="1" x14ac:dyDescent="0.25">
      <c r="A37" s="48"/>
      <c r="B37" s="42"/>
      <c r="C37" s="564" t="s">
        <v>41</v>
      </c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4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4"/>
      <c r="AF37" s="564"/>
      <c r="AG37" s="564"/>
      <c r="AH37" s="564"/>
      <c r="AI37" s="35"/>
      <c r="AJ37" s="55"/>
      <c r="AK37" s="579"/>
      <c r="AL37" s="580"/>
      <c r="AM37" s="580"/>
      <c r="AN37" s="580"/>
      <c r="AO37" s="580"/>
      <c r="AP37" s="580"/>
      <c r="AQ37" s="580"/>
      <c r="AR37" s="580"/>
      <c r="AS37" s="580"/>
      <c r="AT37" s="580"/>
      <c r="AU37" s="580"/>
      <c r="AV37" s="580"/>
      <c r="AW37" s="580"/>
      <c r="AX37" s="580"/>
      <c r="AY37" s="580"/>
      <c r="AZ37" s="580"/>
      <c r="BA37" s="580"/>
      <c r="BB37" s="580"/>
      <c r="BC37" s="580"/>
      <c r="BD37" s="580"/>
      <c r="BE37" s="580"/>
      <c r="BF37" s="580"/>
      <c r="BG37" s="580"/>
      <c r="BH37" s="580"/>
      <c r="BI37" s="580"/>
      <c r="BJ37" s="580"/>
      <c r="BK37" s="581"/>
      <c r="CQ37" s="72"/>
    </row>
    <row r="38" spans="1:95" ht="12.75" customHeight="1" x14ac:dyDescent="0.25">
      <c r="A38" s="48"/>
      <c r="B38" s="42"/>
      <c r="C38" s="564" t="s">
        <v>42</v>
      </c>
      <c r="D38" s="564"/>
      <c r="E38" s="564"/>
      <c r="F38" s="564"/>
      <c r="G38" s="564"/>
      <c r="H38" s="564"/>
      <c r="I38" s="564"/>
      <c r="J38" s="564"/>
      <c r="K38" s="564"/>
      <c r="L38" s="564"/>
      <c r="M38" s="564"/>
      <c r="N38" s="564"/>
      <c r="O38" s="564"/>
      <c r="P38" s="564"/>
      <c r="Q38" s="564"/>
      <c r="R38" s="564"/>
      <c r="S38" s="564"/>
      <c r="T38" s="564"/>
      <c r="U38" s="564"/>
      <c r="V38" s="564"/>
      <c r="W38" s="564"/>
      <c r="X38" s="564"/>
      <c r="Y38" s="564"/>
      <c r="Z38" s="564"/>
      <c r="AA38" s="564"/>
      <c r="AB38" s="564"/>
      <c r="AC38" s="564"/>
      <c r="AD38" s="564"/>
      <c r="AE38" s="564"/>
      <c r="AF38" s="564"/>
      <c r="AG38" s="564"/>
      <c r="AH38" s="564"/>
      <c r="AI38" s="35"/>
      <c r="AJ38" s="55"/>
      <c r="AK38" s="582" t="s">
        <v>69</v>
      </c>
      <c r="AL38" s="583"/>
      <c r="AM38" s="62" t="s">
        <v>70</v>
      </c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57"/>
      <c r="CQ38" s="72"/>
    </row>
    <row r="39" spans="1:95" ht="12.75" customHeight="1" x14ac:dyDescent="0.25">
      <c r="A39" s="48"/>
      <c r="B39" s="42"/>
      <c r="C39" s="564" t="s">
        <v>43</v>
      </c>
      <c r="D39" s="564"/>
      <c r="E39" s="564"/>
      <c r="F39" s="564"/>
      <c r="G39" s="564"/>
      <c r="H39" s="564"/>
      <c r="I39" s="564"/>
      <c r="J39" s="564"/>
      <c r="K39" s="564"/>
      <c r="L39" s="564"/>
      <c r="M39" s="564"/>
      <c r="N39" s="564"/>
      <c r="O39" s="564"/>
      <c r="P39" s="564"/>
      <c r="Q39" s="564"/>
      <c r="R39" s="564"/>
      <c r="S39" s="564"/>
      <c r="T39" s="564"/>
      <c r="U39" s="564"/>
      <c r="V39" s="564"/>
      <c r="W39" s="564"/>
      <c r="X39" s="564"/>
      <c r="Y39" s="564"/>
      <c r="Z39" s="564"/>
      <c r="AA39" s="564"/>
      <c r="AB39" s="564"/>
      <c r="AC39" s="564"/>
      <c r="AD39" s="564"/>
      <c r="AE39" s="564"/>
      <c r="AF39" s="564"/>
      <c r="AG39" s="564"/>
      <c r="AH39" s="564"/>
      <c r="AI39" s="35"/>
      <c r="AJ39" s="55"/>
      <c r="AK39" s="584"/>
      <c r="AL39" s="585"/>
      <c r="AM39" s="63" t="s">
        <v>71</v>
      </c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35"/>
      <c r="CQ39" s="72"/>
    </row>
    <row r="40" spans="1:95" ht="12.75" customHeight="1" x14ac:dyDescent="0.25">
      <c r="A40" s="48"/>
      <c r="B40" s="42"/>
      <c r="C40" s="564" t="s">
        <v>44</v>
      </c>
      <c r="D40" s="564"/>
      <c r="E40" s="564"/>
      <c r="F40" s="564"/>
      <c r="G40" s="564"/>
      <c r="H40" s="564"/>
      <c r="I40" s="564"/>
      <c r="J40" s="564"/>
      <c r="K40" s="564"/>
      <c r="L40" s="564"/>
      <c r="M40" s="564"/>
      <c r="N40" s="5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35"/>
      <c r="AJ40" s="55"/>
      <c r="AK40" s="586" t="s">
        <v>69</v>
      </c>
      <c r="AL40" s="585"/>
      <c r="AM40" s="63" t="s">
        <v>72</v>
      </c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35"/>
      <c r="CQ40" s="72"/>
    </row>
    <row r="41" spans="1:95" x14ac:dyDescent="0.25">
      <c r="A41" s="48"/>
      <c r="B41" s="42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35"/>
      <c r="AJ41" s="55"/>
      <c r="AK41" s="584"/>
      <c r="AL41" s="585"/>
      <c r="AM41" s="63" t="s">
        <v>73</v>
      </c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35"/>
      <c r="CQ41" s="72"/>
    </row>
    <row r="42" spans="1:95" ht="12.75" customHeight="1" x14ac:dyDescent="0.25">
      <c r="A42" s="48"/>
      <c r="B42" s="555" t="s">
        <v>45</v>
      </c>
      <c r="C42" s="555"/>
      <c r="D42" s="566" t="s">
        <v>46</v>
      </c>
      <c r="E42" s="566"/>
      <c r="F42" s="566"/>
      <c r="G42" s="566"/>
      <c r="H42" s="566"/>
      <c r="I42" s="566"/>
      <c r="J42" s="566"/>
      <c r="K42" s="566"/>
      <c r="L42" s="566"/>
      <c r="M42" s="566"/>
      <c r="N42" s="566"/>
      <c r="O42" s="566"/>
      <c r="P42" s="566"/>
      <c r="Q42" s="566"/>
      <c r="R42" s="566"/>
      <c r="S42" s="566"/>
      <c r="T42" s="566"/>
      <c r="U42" s="566"/>
      <c r="V42" s="566"/>
      <c r="W42" s="566"/>
      <c r="X42" s="566"/>
      <c r="Y42" s="566"/>
      <c r="Z42" s="566"/>
      <c r="AA42" s="566"/>
      <c r="AB42" s="64"/>
      <c r="AC42" s="64"/>
      <c r="AD42" s="64"/>
      <c r="AE42" s="64"/>
      <c r="AF42" s="64"/>
      <c r="AG42" s="64"/>
      <c r="AH42" s="64"/>
      <c r="AI42" s="35"/>
      <c r="AJ42" s="55"/>
      <c r="AK42" s="586" t="s">
        <v>69</v>
      </c>
      <c r="AL42" s="585"/>
      <c r="AM42" s="63" t="s">
        <v>74</v>
      </c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35"/>
      <c r="CQ42" s="72"/>
    </row>
    <row r="43" spans="1:95" ht="12.75" customHeight="1" x14ac:dyDescent="0.25">
      <c r="A43" s="48"/>
      <c r="B43" s="42"/>
      <c r="C43" s="64"/>
      <c r="D43" s="566" t="s">
        <v>47</v>
      </c>
      <c r="E43" s="566"/>
      <c r="F43" s="566"/>
      <c r="G43" s="566"/>
      <c r="H43" s="566"/>
      <c r="I43" s="566"/>
      <c r="J43" s="566"/>
      <c r="K43" s="566"/>
      <c r="L43" s="566"/>
      <c r="M43" s="566"/>
      <c r="N43" s="566"/>
      <c r="O43" s="566"/>
      <c r="P43" s="566"/>
      <c r="Q43" s="566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35"/>
      <c r="AJ43" s="55"/>
      <c r="AK43" s="584"/>
      <c r="AL43" s="585"/>
      <c r="AM43" s="63" t="s">
        <v>75</v>
      </c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35"/>
      <c r="CQ43" s="72"/>
    </row>
    <row r="44" spans="1:95" ht="12.75" customHeight="1" x14ac:dyDescent="0.25">
      <c r="A44" s="48"/>
      <c r="B44" s="42"/>
      <c r="C44" s="64"/>
      <c r="D44" s="564" t="s">
        <v>48</v>
      </c>
      <c r="E44" s="564"/>
      <c r="F44" s="564"/>
      <c r="G44" s="564"/>
      <c r="H44" s="564"/>
      <c r="I44" s="564"/>
      <c r="J44" s="564"/>
      <c r="K44" s="564"/>
      <c r="L44" s="564"/>
      <c r="M44" s="564"/>
      <c r="N44" s="564"/>
      <c r="O44" s="564"/>
      <c r="P44" s="564"/>
      <c r="Q44" s="564"/>
      <c r="R44" s="564"/>
      <c r="S44" s="564"/>
      <c r="T44" s="564"/>
      <c r="U44" s="564"/>
      <c r="V44" s="564"/>
      <c r="W44" s="564"/>
      <c r="X44" s="564"/>
      <c r="Y44" s="564"/>
      <c r="Z44" s="564"/>
      <c r="AA44" s="564"/>
      <c r="AB44" s="564"/>
      <c r="AC44" s="564"/>
      <c r="AD44" s="564"/>
      <c r="AE44" s="564"/>
      <c r="AF44" s="564"/>
      <c r="AG44" s="564"/>
      <c r="AH44" s="564"/>
      <c r="AI44" s="35"/>
      <c r="AJ44" s="55"/>
      <c r="AK44" s="65" t="s">
        <v>76</v>
      </c>
      <c r="AL44" s="66" t="s">
        <v>77</v>
      </c>
      <c r="AM44" s="66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35"/>
      <c r="CQ44" s="72"/>
    </row>
    <row r="45" spans="1:95" ht="12.75" customHeight="1" x14ac:dyDescent="0.25">
      <c r="A45" s="48"/>
      <c r="B45" s="42"/>
      <c r="C45" s="64"/>
      <c r="D45" s="564" t="s">
        <v>49</v>
      </c>
      <c r="E45" s="564"/>
      <c r="F45" s="564"/>
      <c r="G45" s="564"/>
      <c r="H45" s="564"/>
      <c r="I45" s="564"/>
      <c r="J45" s="564"/>
      <c r="K45" s="564"/>
      <c r="L45" s="564"/>
      <c r="M45" s="564"/>
      <c r="N45" s="564"/>
      <c r="O45" s="564"/>
      <c r="P45" s="564"/>
      <c r="Q45" s="564"/>
      <c r="R45" s="564"/>
      <c r="S45" s="564"/>
      <c r="T45" s="564"/>
      <c r="U45" s="564"/>
      <c r="V45" s="564"/>
      <c r="W45" s="564"/>
      <c r="X45" s="564"/>
      <c r="Y45" s="564"/>
      <c r="Z45" s="564"/>
      <c r="AA45" s="564"/>
      <c r="AB45" s="564"/>
      <c r="AC45" s="564"/>
      <c r="AD45" s="564"/>
      <c r="AE45" s="564"/>
      <c r="AF45" s="564"/>
      <c r="AG45" s="564"/>
      <c r="AH45" s="564"/>
      <c r="AI45" s="35"/>
      <c r="AJ45" s="55"/>
      <c r="AK45" s="60"/>
      <c r="AL45" s="67" t="s">
        <v>78</v>
      </c>
      <c r="AM45" s="67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35"/>
      <c r="CQ45" s="72"/>
    </row>
    <row r="46" spans="1:95" ht="12.75" customHeight="1" x14ac:dyDescent="0.25">
      <c r="A46" s="48"/>
      <c r="B46" s="42"/>
      <c r="C46" s="64"/>
      <c r="D46" s="564" t="s">
        <v>50</v>
      </c>
      <c r="E46" s="564"/>
      <c r="F46" s="564"/>
      <c r="G46" s="564"/>
      <c r="H46" s="564"/>
      <c r="I46" s="564"/>
      <c r="J46" s="564"/>
      <c r="K46" s="564"/>
      <c r="L46" s="564"/>
      <c r="M46" s="564"/>
      <c r="N46" s="564"/>
      <c r="O46" s="564"/>
      <c r="P46" s="564"/>
      <c r="Q46" s="564"/>
      <c r="R46" s="564"/>
      <c r="S46" s="564"/>
      <c r="T46" s="564"/>
      <c r="U46" s="564"/>
      <c r="V46" s="564"/>
      <c r="W46" s="564"/>
      <c r="X46" s="564"/>
      <c r="Y46" s="564"/>
      <c r="Z46" s="564"/>
      <c r="AA46" s="564"/>
      <c r="AB46" s="564"/>
      <c r="AC46" s="564"/>
      <c r="AD46" s="564"/>
      <c r="AE46" s="564"/>
      <c r="AF46" s="564"/>
      <c r="AG46" s="564"/>
      <c r="AH46" s="564"/>
      <c r="AI46" s="35"/>
      <c r="AJ46" s="55"/>
      <c r="AK46" s="60"/>
      <c r="AL46" s="67" t="s">
        <v>79</v>
      </c>
      <c r="AM46" s="68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35"/>
      <c r="CQ46" s="72"/>
    </row>
    <row r="47" spans="1:95" ht="12.75" customHeight="1" x14ac:dyDescent="0.25">
      <c r="A47" s="48"/>
      <c r="B47" s="42"/>
      <c r="C47" s="42"/>
      <c r="D47" s="564" t="s">
        <v>51</v>
      </c>
      <c r="E47" s="564"/>
      <c r="F47" s="564"/>
      <c r="G47" s="564"/>
      <c r="H47" s="564"/>
      <c r="I47" s="564"/>
      <c r="J47" s="564"/>
      <c r="K47" s="564"/>
      <c r="L47" s="564"/>
      <c r="M47" s="564"/>
      <c r="N47" s="564"/>
      <c r="O47" s="564"/>
      <c r="P47" s="564"/>
      <c r="Q47" s="564"/>
      <c r="R47" s="564"/>
      <c r="S47" s="564"/>
      <c r="T47" s="564"/>
      <c r="U47" s="564"/>
      <c r="V47" s="564"/>
      <c r="W47" s="564"/>
      <c r="X47" s="564"/>
      <c r="Y47" s="564"/>
      <c r="Z47" s="42"/>
      <c r="AA47" s="42"/>
      <c r="AB47" s="42"/>
      <c r="AC47" s="42"/>
      <c r="AD47" s="42"/>
      <c r="AE47" s="42"/>
      <c r="AF47" s="42"/>
      <c r="AG47" s="42"/>
      <c r="AH47" s="42"/>
      <c r="AI47" s="35"/>
      <c r="AJ47" s="55"/>
      <c r="AK47" s="60"/>
      <c r="AL47" s="67" t="s">
        <v>80</v>
      </c>
      <c r="AM47" s="68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35"/>
      <c r="CQ47" s="72"/>
    </row>
    <row r="48" spans="1:95" ht="12.75" customHeight="1" thickBot="1" x14ac:dyDescent="0.3">
      <c r="A48" s="48"/>
      <c r="B48" s="42"/>
      <c r="C48" s="74" t="s">
        <v>188</v>
      </c>
      <c r="D48" s="74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42"/>
      <c r="AA48" s="42"/>
      <c r="AB48" s="42"/>
      <c r="AC48" s="42"/>
      <c r="AD48" s="42"/>
      <c r="AE48" s="42"/>
      <c r="AF48" s="42"/>
      <c r="AG48" s="42"/>
      <c r="AH48" s="42"/>
      <c r="AI48" s="35"/>
      <c r="AJ48" s="55"/>
      <c r="AK48" s="60"/>
      <c r="AL48" s="67" t="s">
        <v>81</v>
      </c>
      <c r="AM48" s="68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35"/>
      <c r="CQ48" s="72"/>
    </row>
    <row r="49" spans="1:95" ht="12.75" customHeight="1" thickBot="1" x14ac:dyDescent="0.3">
      <c r="A49" s="48"/>
      <c r="B49" s="42"/>
      <c r="C49" s="556"/>
      <c r="D49" s="557"/>
      <c r="E49" s="557"/>
      <c r="F49" s="557"/>
      <c r="G49" s="557"/>
      <c r="H49" s="557"/>
      <c r="I49" s="557"/>
      <c r="J49" s="557"/>
      <c r="K49" s="557"/>
      <c r="L49" s="558"/>
      <c r="M49" s="69" t="s">
        <v>16</v>
      </c>
      <c r="N49" s="556"/>
      <c r="O49" s="557"/>
      <c r="P49" s="557"/>
      <c r="Q49" s="557"/>
      <c r="R49" s="557"/>
      <c r="S49" s="557"/>
      <c r="T49" s="557"/>
      <c r="U49" s="557"/>
      <c r="V49" s="557"/>
      <c r="W49" s="558"/>
      <c r="X49" s="42" t="s">
        <v>60</v>
      </c>
      <c r="Y49" s="559">
        <f>$C$49+$N$49</f>
        <v>0</v>
      </c>
      <c r="Z49" s="560"/>
      <c r="AA49" s="560"/>
      <c r="AB49" s="560"/>
      <c r="AC49" s="560"/>
      <c r="AD49" s="560"/>
      <c r="AE49" s="560"/>
      <c r="AF49" s="560"/>
      <c r="AG49" s="560"/>
      <c r="AH49" s="561"/>
      <c r="AI49" s="35"/>
      <c r="AJ49" s="55"/>
      <c r="AK49" s="60"/>
      <c r="AL49" s="67"/>
      <c r="AM49" s="68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35"/>
      <c r="CQ49" s="72"/>
    </row>
    <row r="50" spans="1:95" ht="12.75" customHeight="1" x14ac:dyDescent="0.25">
      <c r="A50" s="48"/>
      <c r="B50" s="42"/>
      <c r="C50" s="541" t="s">
        <v>57</v>
      </c>
      <c r="D50" s="541"/>
      <c r="E50" s="541"/>
      <c r="F50" s="541"/>
      <c r="G50" s="541"/>
      <c r="H50" s="541"/>
      <c r="I50" s="541"/>
      <c r="J50" s="541"/>
      <c r="K50" s="541"/>
      <c r="L50" s="541"/>
      <c r="M50" s="42"/>
      <c r="N50" s="541" t="s">
        <v>56</v>
      </c>
      <c r="O50" s="541"/>
      <c r="P50" s="541"/>
      <c r="Q50" s="541"/>
      <c r="R50" s="541"/>
      <c r="S50" s="541"/>
      <c r="T50" s="541"/>
      <c r="U50" s="541"/>
      <c r="V50" s="541"/>
      <c r="W50" s="541"/>
      <c r="X50" s="42"/>
      <c r="Y50" s="541" t="s">
        <v>61</v>
      </c>
      <c r="Z50" s="541"/>
      <c r="AA50" s="541"/>
      <c r="AB50" s="541"/>
      <c r="AC50" s="541"/>
      <c r="AD50" s="541"/>
      <c r="AE50" s="541"/>
      <c r="AF50" s="541"/>
      <c r="AG50" s="541"/>
      <c r="AH50" s="541"/>
      <c r="AI50" s="35"/>
      <c r="AJ50" s="55"/>
      <c r="AK50" s="60"/>
      <c r="AL50" s="67"/>
      <c r="AM50" s="68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35"/>
      <c r="CQ50" s="72"/>
    </row>
    <row r="51" spans="1:95" ht="12.75" customHeight="1" x14ac:dyDescent="0.25">
      <c r="A51" s="48"/>
      <c r="B51" s="42"/>
      <c r="C51" s="541"/>
      <c r="D51" s="541"/>
      <c r="E51" s="541"/>
      <c r="F51" s="541"/>
      <c r="G51" s="541"/>
      <c r="H51" s="541"/>
      <c r="I51" s="541"/>
      <c r="J51" s="541"/>
      <c r="K51" s="541"/>
      <c r="L51" s="541"/>
      <c r="M51" s="42"/>
      <c r="N51" s="541"/>
      <c r="O51" s="541"/>
      <c r="P51" s="541"/>
      <c r="Q51" s="541"/>
      <c r="R51" s="541"/>
      <c r="S51" s="541"/>
      <c r="T51" s="541"/>
      <c r="U51" s="541"/>
      <c r="V51" s="541"/>
      <c r="W51" s="541"/>
      <c r="X51" s="42"/>
      <c r="Y51" s="541"/>
      <c r="Z51" s="541"/>
      <c r="AA51" s="541"/>
      <c r="AB51" s="541"/>
      <c r="AC51" s="541"/>
      <c r="AD51" s="541"/>
      <c r="AE51" s="541"/>
      <c r="AF51" s="541"/>
      <c r="AG51" s="541"/>
      <c r="AH51" s="541"/>
      <c r="AI51" s="35"/>
      <c r="AJ51" s="55"/>
      <c r="AK51" s="60"/>
      <c r="AL51" s="67"/>
      <c r="AM51" s="68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35"/>
      <c r="CQ51" s="72"/>
    </row>
    <row r="52" spans="1:95" ht="12.75" customHeight="1" thickBot="1" x14ac:dyDescent="0.3">
      <c r="A52" s="48"/>
      <c r="B52" s="42"/>
      <c r="C52" s="74" t="s">
        <v>189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42"/>
      <c r="AA52" s="42"/>
      <c r="AB52" s="42"/>
      <c r="AC52" s="42"/>
      <c r="AD52" s="42"/>
      <c r="AE52" s="42"/>
      <c r="AF52" s="42"/>
      <c r="AG52" s="42"/>
      <c r="AH52" s="42"/>
      <c r="AI52" s="35"/>
      <c r="AJ52" s="55"/>
      <c r="AK52" s="60"/>
      <c r="AL52" s="67"/>
      <c r="AM52" s="68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35"/>
      <c r="CQ52" s="72"/>
    </row>
    <row r="53" spans="1:95" ht="12.75" customHeight="1" thickBot="1" x14ac:dyDescent="0.3">
      <c r="A53" s="48"/>
      <c r="B53" s="42"/>
      <c r="C53" s="556"/>
      <c r="D53" s="557"/>
      <c r="E53" s="557"/>
      <c r="F53" s="557"/>
      <c r="G53" s="557"/>
      <c r="H53" s="557"/>
      <c r="I53" s="557"/>
      <c r="J53" s="557"/>
      <c r="K53" s="557"/>
      <c r="L53" s="558"/>
      <c r="M53" s="69" t="s">
        <v>16</v>
      </c>
      <c r="N53" s="556"/>
      <c r="O53" s="557"/>
      <c r="P53" s="557"/>
      <c r="Q53" s="557"/>
      <c r="R53" s="557"/>
      <c r="S53" s="557"/>
      <c r="T53" s="557"/>
      <c r="U53" s="557"/>
      <c r="V53" s="557"/>
      <c r="W53" s="558"/>
      <c r="X53" s="42" t="s">
        <v>60</v>
      </c>
      <c r="Y53" s="544">
        <f>$C$53+$N$53</f>
        <v>0</v>
      </c>
      <c r="Z53" s="545"/>
      <c r="AA53" s="545"/>
      <c r="AB53" s="545"/>
      <c r="AC53" s="545"/>
      <c r="AD53" s="545"/>
      <c r="AE53" s="545"/>
      <c r="AF53" s="545"/>
      <c r="AG53" s="545"/>
      <c r="AH53" s="546"/>
      <c r="AI53" s="35"/>
      <c r="AJ53" s="55"/>
      <c r="AK53" s="60"/>
      <c r="AL53" s="67"/>
      <c r="AM53" s="68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35"/>
      <c r="CQ53" s="72"/>
    </row>
    <row r="54" spans="1:95" ht="12.75" customHeight="1" x14ac:dyDescent="0.25">
      <c r="A54" s="48"/>
      <c r="B54" s="42"/>
      <c r="C54" s="541" t="s">
        <v>57</v>
      </c>
      <c r="D54" s="541"/>
      <c r="E54" s="541"/>
      <c r="F54" s="541"/>
      <c r="G54" s="541"/>
      <c r="H54" s="541"/>
      <c r="I54" s="541"/>
      <c r="J54" s="541"/>
      <c r="K54" s="541"/>
      <c r="L54" s="541"/>
      <c r="M54" s="42"/>
      <c r="N54" s="541" t="s">
        <v>56</v>
      </c>
      <c r="O54" s="541"/>
      <c r="P54" s="541"/>
      <c r="Q54" s="541"/>
      <c r="R54" s="541"/>
      <c r="S54" s="541"/>
      <c r="T54" s="541"/>
      <c r="U54" s="541"/>
      <c r="V54" s="541"/>
      <c r="W54" s="541"/>
      <c r="X54" s="42"/>
      <c r="Y54" s="503" t="s">
        <v>61</v>
      </c>
      <c r="Z54" s="503"/>
      <c r="AA54" s="503"/>
      <c r="AB54" s="503"/>
      <c r="AC54" s="503"/>
      <c r="AD54" s="503"/>
      <c r="AE54" s="503"/>
      <c r="AF54" s="503"/>
      <c r="AG54" s="503"/>
      <c r="AH54" s="503"/>
      <c r="AI54" s="35"/>
      <c r="AJ54" s="55"/>
      <c r="AK54" s="60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35"/>
      <c r="CQ54" s="72"/>
    </row>
    <row r="55" spans="1:95" ht="12.75" customHeight="1" x14ac:dyDescent="0.25">
      <c r="A55" s="48"/>
      <c r="B55" s="42"/>
      <c r="C55" s="547"/>
      <c r="D55" s="547"/>
      <c r="E55" s="547"/>
      <c r="F55" s="547"/>
      <c r="G55" s="547"/>
      <c r="H55" s="547"/>
      <c r="I55" s="547"/>
      <c r="J55" s="547"/>
      <c r="K55" s="547"/>
      <c r="L55" s="547"/>
      <c r="M55" s="42"/>
      <c r="N55" s="547"/>
      <c r="O55" s="547"/>
      <c r="P55" s="547"/>
      <c r="Q55" s="547"/>
      <c r="R55" s="547"/>
      <c r="S55" s="547"/>
      <c r="T55" s="547"/>
      <c r="U55" s="547"/>
      <c r="V55" s="547"/>
      <c r="W55" s="547"/>
      <c r="X55" s="42"/>
      <c r="Y55" s="547"/>
      <c r="Z55" s="547"/>
      <c r="AA55" s="547"/>
      <c r="AB55" s="547"/>
      <c r="AC55" s="547"/>
      <c r="AD55" s="547"/>
      <c r="AE55" s="547"/>
      <c r="AF55" s="547"/>
      <c r="AG55" s="547"/>
      <c r="AH55" s="547"/>
      <c r="AI55" s="35"/>
      <c r="AJ55" s="55"/>
      <c r="AK55" s="60"/>
      <c r="AL55" s="574" t="e">
        <f>BoxI</f>
        <v>#VALUE!</v>
      </c>
      <c r="AM55" s="575"/>
      <c r="AN55" s="575"/>
      <c r="AO55" s="575"/>
      <c r="AP55" s="575"/>
      <c r="AQ55" s="575"/>
      <c r="AR55" s="576"/>
      <c r="AS55" s="42" t="s">
        <v>82</v>
      </c>
      <c r="AT55" s="574">
        <f>BoxE</f>
        <v>0</v>
      </c>
      <c r="AU55" s="575"/>
      <c r="AV55" s="575"/>
      <c r="AW55" s="575"/>
      <c r="AX55" s="575"/>
      <c r="AY55" s="575"/>
      <c r="AZ55" s="576"/>
      <c r="BA55" s="42" t="s">
        <v>60</v>
      </c>
      <c r="BB55" s="577" t="s">
        <v>76</v>
      </c>
      <c r="BC55" s="578"/>
      <c r="BD55" s="575" t="e">
        <f t="shared" ref="BD55:BJ55" si="0">IF(BoxI=BoxE,"STOP",(IF(BoxI&lt;BoxE,"Go to K",(BoxI-BoxE))))</f>
        <v>#VALUE!</v>
      </c>
      <c r="BE55" s="575" t="e">
        <f t="shared" si="0"/>
        <v>#VALUE!</v>
      </c>
      <c r="BF55" s="575" t="e">
        <f t="shared" si="0"/>
        <v>#VALUE!</v>
      </c>
      <c r="BG55" s="575" t="e">
        <f t="shared" si="0"/>
        <v>#VALUE!</v>
      </c>
      <c r="BH55" s="575" t="e">
        <f t="shared" si="0"/>
        <v>#VALUE!</v>
      </c>
      <c r="BI55" s="575" t="e">
        <f t="shared" si="0"/>
        <v>#VALUE!</v>
      </c>
      <c r="BJ55" s="576" t="e">
        <f t="shared" si="0"/>
        <v>#VALUE!</v>
      </c>
      <c r="BK55" s="35"/>
      <c r="CQ55" s="72"/>
    </row>
    <row r="56" spans="1:95" ht="12.75" customHeight="1" x14ac:dyDescent="0.25">
      <c r="A56" s="48"/>
      <c r="B56" s="42"/>
      <c r="C56" s="544" t="e">
        <f>SUM($Y$32-$C$32-$Y$49)+1</f>
        <v>#VALUE!</v>
      </c>
      <c r="D56" s="545"/>
      <c r="E56" s="545"/>
      <c r="F56" s="545"/>
      <c r="G56" s="545"/>
      <c r="H56" s="545"/>
      <c r="I56" s="545"/>
      <c r="J56" s="545"/>
      <c r="K56" s="545"/>
      <c r="L56" s="546"/>
      <c r="M56" s="70" t="s">
        <v>62</v>
      </c>
      <c r="N56" s="544" t="e">
        <f>SUM($N$32-$C$32-$Y$53)+1</f>
        <v>#VALUE!</v>
      </c>
      <c r="O56" s="545"/>
      <c r="P56" s="545"/>
      <c r="Q56" s="545"/>
      <c r="R56" s="545"/>
      <c r="S56" s="545"/>
      <c r="T56" s="545"/>
      <c r="U56" s="545"/>
      <c r="V56" s="545"/>
      <c r="W56" s="546"/>
      <c r="X56" s="42" t="s">
        <v>60</v>
      </c>
      <c r="Y56" s="571" t="e">
        <f>ROUND(SUM($C$56/$N$56),3)</f>
        <v>#VALUE!</v>
      </c>
      <c r="Z56" s="569"/>
      <c r="AA56" s="569"/>
      <c r="AB56" s="569"/>
      <c r="AC56" s="569"/>
      <c r="AD56" s="569"/>
      <c r="AE56" s="569"/>
      <c r="AF56" s="569"/>
      <c r="AG56" s="569"/>
      <c r="AH56" s="570"/>
      <c r="AI56" s="35"/>
      <c r="AJ56" s="55"/>
      <c r="AK56" s="60"/>
      <c r="AL56" s="552" t="s">
        <v>83</v>
      </c>
      <c r="AM56" s="552"/>
      <c r="AN56" s="552"/>
      <c r="AO56" s="552"/>
      <c r="AP56" s="552"/>
      <c r="AQ56" s="552"/>
      <c r="AR56" s="552"/>
      <c r="AS56" s="42"/>
      <c r="AT56" s="552" t="s">
        <v>84</v>
      </c>
      <c r="AU56" s="552"/>
      <c r="AV56" s="552"/>
      <c r="AW56" s="552"/>
      <c r="AX56" s="552"/>
      <c r="AY56" s="552"/>
      <c r="AZ56" s="55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35"/>
      <c r="CQ56" s="72"/>
    </row>
    <row r="57" spans="1:95" ht="12.75" customHeight="1" x14ac:dyDescent="0.25">
      <c r="A57" s="48"/>
      <c r="B57" s="42"/>
      <c r="C57" s="543" t="s">
        <v>58</v>
      </c>
      <c r="D57" s="543"/>
      <c r="E57" s="543"/>
      <c r="F57" s="543"/>
      <c r="G57" s="543"/>
      <c r="H57" s="543"/>
      <c r="I57" s="543"/>
      <c r="J57" s="543"/>
      <c r="K57" s="543"/>
      <c r="L57" s="543"/>
      <c r="M57" s="42"/>
      <c r="N57" s="543" t="s">
        <v>59</v>
      </c>
      <c r="O57" s="543"/>
      <c r="P57" s="543"/>
      <c r="Q57" s="543"/>
      <c r="R57" s="543"/>
      <c r="S57" s="543"/>
      <c r="T57" s="543"/>
      <c r="U57" s="543"/>
      <c r="V57" s="543"/>
      <c r="W57" s="543"/>
      <c r="X57" s="42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35"/>
      <c r="AJ57" s="55"/>
      <c r="AK57" s="60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35"/>
      <c r="CQ57" s="72"/>
    </row>
    <row r="58" spans="1:95" x14ac:dyDescent="0.25">
      <c r="A58" s="48"/>
      <c r="B58" s="42"/>
      <c r="C58" s="562" t="s">
        <v>52</v>
      </c>
      <c r="D58" s="562"/>
      <c r="E58" s="562"/>
      <c r="F58" s="562"/>
      <c r="G58" s="562"/>
      <c r="H58" s="562"/>
      <c r="I58" s="562"/>
      <c r="J58" s="562"/>
      <c r="K58" s="562"/>
      <c r="L58" s="562"/>
      <c r="M58" s="562"/>
      <c r="N58" s="562"/>
      <c r="O58" s="562"/>
      <c r="P58" s="562"/>
      <c r="Q58" s="562"/>
      <c r="R58" s="562"/>
      <c r="S58" s="562"/>
      <c r="T58" s="562"/>
      <c r="U58" s="562"/>
      <c r="V58" s="562"/>
      <c r="W58" s="562"/>
      <c r="X58" s="562"/>
      <c r="Y58" s="562"/>
      <c r="Z58" s="562"/>
      <c r="AA58" s="562"/>
      <c r="AB58" s="562"/>
      <c r="AC58" s="562"/>
      <c r="AD58" s="562"/>
      <c r="AE58" s="562"/>
      <c r="AF58" s="562"/>
      <c r="AG58" s="562"/>
      <c r="AH58" s="562"/>
      <c r="AI58" s="35"/>
      <c r="AJ58" s="55"/>
      <c r="AK58" s="60"/>
      <c r="AL58" s="71" t="s">
        <v>85</v>
      </c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35"/>
      <c r="CQ58" s="72"/>
    </row>
    <row r="59" spans="1:95" x14ac:dyDescent="0.25">
      <c r="A59" s="48"/>
      <c r="B59" s="42"/>
      <c r="C59" s="562" t="s">
        <v>53</v>
      </c>
      <c r="D59" s="562"/>
      <c r="E59" s="562"/>
      <c r="F59" s="562"/>
      <c r="G59" s="562"/>
      <c r="H59" s="562"/>
      <c r="I59" s="562"/>
      <c r="J59" s="562"/>
      <c r="K59" s="562"/>
      <c r="L59" s="562"/>
      <c r="M59" s="562"/>
      <c r="N59" s="562"/>
      <c r="O59" s="56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35"/>
      <c r="AJ59" s="55"/>
      <c r="AK59" s="60"/>
      <c r="AL59" s="67" t="s">
        <v>86</v>
      </c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35"/>
      <c r="CQ59" s="72"/>
    </row>
    <row r="60" spans="1:95" x14ac:dyDescent="0.25">
      <c r="A60" s="48"/>
      <c r="B60" s="42"/>
      <c r="C60" s="563" t="s">
        <v>54</v>
      </c>
      <c r="D60" s="563"/>
      <c r="E60" s="563"/>
      <c r="F60" s="563"/>
      <c r="G60" s="563"/>
      <c r="H60" s="563"/>
      <c r="I60" s="563"/>
      <c r="J60" s="563"/>
      <c r="K60" s="563"/>
      <c r="L60" s="563"/>
      <c r="M60" s="563"/>
      <c r="N60" s="563"/>
      <c r="O60" s="563"/>
      <c r="P60" s="563"/>
      <c r="Q60" s="563"/>
      <c r="R60" s="563"/>
      <c r="S60" s="563"/>
      <c r="T60" s="563"/>
      <c r="U60" s="563"/>
      <c r="V60" s="563"/>
      <c r="W60" s="563"/>
      <c r="X60" s="563"/>
      <c r="Y60" s="563"/>
      <c r="Z60" s="563"/>
      <c r="AA60" s="563"/>
      <c r="AB60" s="563"/>
      <c r="AC60" s="563"/>
      <c r="AD60" s="563"/>
      <c r="AE60" s="563"/>
      <c r="AF60" s="563"/>
      <c r="AG60" s="563"/>
      <c r="AH60" s="563"/>
      <c r="AI60" s="35"/>
      <c r="AJ60" s="55"/>
      <c r="AK60" s="60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67" t="s">
        <v>87</v>
      </c>
      <c r="BD60" s="67"/>
      <c r="BE60" s="42"/>
      <c r="BF60" s="42"/>
      <c r="BG60" s="42"/>
      <c r="BH60" s="42"/>
      <c r="BI60" s="42"/>
      <c r="BJ60" s="42"/>
      <c r="BK60" s="35"/>
      <c r="CQ60" s="72"/>
    </row>
    <row r="61" spans="1:95" x14ac:dyDescent="0.25">
      <c r="A61" s="48"/>
      <c r="B61" s="42"/>
      <c r="C61" s="562" t="s">
        <v>55</v>
      </c>
      <c r="D61" s="562"/>
      <c r="E61" s="562"/>
      <c r="F61" s="562"/>
      <c r="G61" s="562"/>
      <c r="H61" s="562"/>
      <c r="I61" s="562"/>
      <c r="J61" s="562"/>
      <c r="K61" s="562"/>
      <c r="L61" s="562"/>
      <c r="M61" s="562"/>
      <c r="N61" s="562"/>
      <c r="O61" s="562"/>
      <c r="P61" s="562"/>
      <c r="Q61" s="562"/>
      <c r="R61" s="562"/>
      <c r="S61" s="562"/>
      <c r="T61" s="562"/>
      <c r="U61" s="42"/>
      <c r="V61" s="42"/>
      <c r="W61" s="42"/>
      <c r="X61" s="567" t="s">
        <v>45</v>
      </c>
      <c r="Y61" s="568"/>
      <c r="Z61" s="569" t="e">
        <f>IF($Y$56&gt;60%,100%,$Y$56)</f>
        <v>#VALUE!</v>
      </c>
      <c r="AA61" s="569"/>
      <c r="AB61" s="569"/>
      <c r="AC61" s="569"/>
      <c r="AD61" s="569"/>
      <c r="AE61" s="569"/>
      <c r="AF61" s="569"/>
      <c r="AG61" s="569"/>
      <c r="AH61" s="570"/>
      <c r="AI61" s="35"/>
      <c r="AJ61" s="55"/>
      <c r="AK61" s="60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 t="s">
        <v>88</v>
      </c>
      <c r="BF61" s="42"/>
      <c r="BG61" s="42"/>
      <c r="BH61" s="42"/>
      <c r="BI61" s="42"/>
      <c r="BJ61" s="42"/>
      <c r="BK61" s="35"/>
      <c r="CQ61" s="72"/>
    </row>
    <row r="62" spans="1:95" ht="6" customHeight="1" x14ac:dyDescent="0.25">
      <c r="A62" s="47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36"/>
      <c r="AJ62" s="55"/>
      <c r="AK62" s="6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36"/>
      <c r="CQ62" s="72"/>
    </row>
    <row r="127" spans="1:62" x14ac:dyDescent="0.25">
      <c r="A127" s="594"/>
      <c r="B127" s="594"/>
      <c r="C127" s="594"/>
      <c r="D127" s="594"/>
      <c r="E127" s="594"/>
      <c r="F127" s="594"/>
      <c r="G127" s="594"/>
      <c r="H127" s="594"/>
      <c r="I127" s="594"/>
      <c r="J127" s="594"/>
      <c r="K127" s="594"/>
      <c r="L127" s="594"/>
      <c r="M127" s="594"/>
      <c r="N127" s="594"/>
      <c r="O127" s="594"/>
      <c r="P127" s="594"/>
      <c r="Q127" s="594"/>
      <c r="R127" s="594"/>
      <c r="S127" s="594"/>
      <c r="T127" s="594"/>
      <c r="U127" s="594"/>
      <c r="V127" s="594"/>
      <c r="W127" s="594"/>
      <c r="X127" s="594"/>
      <c r="Y127" s="594"/>
      <c r="Z127" s="594"/>
      <c r="AA127" s="594"/>
      <c r="AB127" s="594"/>
      <c r="AC127" s="594"/>
      <c r="AD127" s="594"/>
      <c r="AE127" s="594"/>
      <c r="AG127" s="594"/>
      <c r="AH127" s="594"/>
      <c r="AI127" s="594"/>
      <c r="AJ127" s="594"/>
      <c r="AK127" s="594"/>
      <c r="AL127" s="594"/>
      <c r="AM127" s="594"/>
      <c r="AN127" s="594"/>
      <c r="AO127" s="594"/>
      <c r="AP127" s="594"/>
      <c r="AQ127" s="594"/>
      <c r="AR127" s="594"/>
      <c r="AS127" s="594"/>
      <c r="AT127" s="594"/>
      <c r="AU127" s="594"/>
      <c r="AV127" s="594"/>
      <c r="AW127" s="594"/>
      <c r="AX127" s="594"/>
      <c r="AY127" s="594"/>
      <c r="AZ127" s="594"/>
      <c r="BA127" s="594"/>
      <c r="BB127" s="594"/>
      <c r="BC127" s="594"/>
      <c r="BD127" s="594"/>
      <c r="BE127" s="594"/>
      <c r="BF127" s="594"/>
      <c r="BG127" s="594"/>
      <c r="BH127" s="594"/>
      <c r="BI127" s="594"/>
      <c r="BJ127" s="594"/>
    </row>
    <row r="129" spans="1:63" x14ac:dyDescent="0.25">
      <c r="AF129" s="594"/>
    </row>
    <row r="130" spans="1:63" x14ac:dyDescent="0.25">
      <c r="A130" s="594"/>
      <c r="B130" s="594"/>
      <c r="C130" s="594"/>
      <c r="D130" s="594"/>
      <c r="E130" s="594"/>
      <c r="F130" s="594"/>
      <c r="G130" s="594"/>
      <c r="H130" s="594"/>
      <c r="I130" s="594"/>
      <c r="J130" s="594"/>
      <c r="K130" s="594"/>
      <c r="L130" s="594"/>
      <c r="M130" s="594"/>
      <c r="N130" s="594"/>
      <c r="O130" s="594"/>
      <c r="P130" s="594"/>
      <c r="Q130" s="594"/>
      <c r="R130" s="594"/>
      <c r="S130" s="594"/>
      <c r="T130" s="594"/>
      <c r="U130" s="594"/>
      <c r="V130" s="594"/>
      <c r="W130" s="594"/>
      <c r="X130" s="594"/>
      <c r="Y130" s="594"/>
      <c r="Z130" s="594"/>
      <c r="AA130" s="594"/>
      <c r="AB130" s="594"/>
      <c r="AC130" s="594"/>
      <c r="AD130" s="594"/>
      <c r="AE130" s="594"/>
      <c r="AF130" s="594"/>
      <c r="AG130" s="594"/>
      <c r="AH130" s="594"/>
      <c r="AI130" s="594"/>
      <c r="AJ130" s="594"/>
      <c r="AK130" s="594"/>
      <c r="AL130" s="594"/>
      <c r="AM130" s="594"/>
      <c r="AN130" s="594"/>
      <c r="AO130" s="594"/>
      <c r="AP130" s="594"/>
      <c r="AQ130" s="594"/>
      <c r="AR130" s="594"/>
      <c r="AS130" s="594"/>
      <c r="AT130" s="594"/>
      <c r="AU130" s="594"/>
      <c r="AV130" s="594"/>
      <c r="AW130" s="594"/>
      <c r="AX130" s="594"/>
      <c r="AY130" s="594"/>
      <c r="AZ130" s="594"/>
      <c r="BA130" s="594"/>
      <c r="BB130" s="594"/>
      <c r="BC130" s="594"/>
      <c r="BD130" s="594"/>
      <c r="BE130" s="594"/>
      <c r="BF130" s="594"/>
      <c r="BG130" s="594"/>
      <c r="BH130" s="594"/>
      <c r="BI130" s="594"/>
      <c r="BJ130" s="594"/>
      <c r="BK130" s="594"/>
    </row>
    <row r="131" spans="1:63" x14ac:dyDescent="0.25">
      <c r="B131" s="594"/>
      <c r="C131" s="594"/>
      <c r="D131" s="594"/>
      <c r="E131" s="594"/>
      <c r="F131" s="594"/>
      <c r="G131" s="594"/>
      <c r="H131" s="594"/>
      <c r="I131" s="594"/>
      <c r="J131" s="594"/>
      <c r="K131" s="594"/>
      <c r="L131" s="594"/>
      <c r="M131" s="594"/>
      <c r="N131" s="594"/>
      <c r="O131" s="594"/>
      <c r="P131" s="594"/>
      <c r="Q131" s="594"/>
      <c r="R131" s="594"/>
      <c r="S131" s="594"/>
      <c r="T131" s="594"/>
      <c r="U131" s="594"/>
      <c r="V131" s="594"/>
      <c r="W131" s="594"/>
      <c r="X131" s="594"/>
      <c r="Y131" s="594"/>
      <c r="Z131" s="594"/>
      <c r="AA131" s="594"/>
      <c r="AB131" s="594"/>
      <c r="AC131" s="594"/>
      <c r="AF131" s="594"/>
      <c r="AG131" s="594"/>
      <c r="AH131" s="594"/>
      <c r="AI131" s="594"/>
      <c r="AJ131" s="594"/>
      <c r="AK131" s="594"/>
      <c r="AL131" s="594"/>
      <c r="AM131" s="594"/>
      <c r="AN131" s="594"/>
      <c r="AO131" s="594"/>
      <c r="AP131" s="594"/>
      <c r="AQ131" s="594"/>
      <c r="AR131" s="594"/>
      <c r="AS131" s="594"/>
      <c r="AT131" s="594"/>
      <c r="AU131" s="594"/>
      <c r="AV131" s="594"/>
      <c r="AW131" s="594"/>
      <c r="AX131" s="594"/>
      <c r="AY131" s="594"/>
      <c r="AZ131" s="594"/>
      <c r="BA131" s="594"/>
      <c r="BB131" s="594"/>
      <c r="BC131" s="594"/>
      <c r="BD131" s="594"/>
      <c r="BE131" s="594"/>
      <c r="BF131" s="594"/>
      <c r="BG131" s="594"/>
      <c r="BH131" s="594"/>
      <c r="BI131" s="594"/>
      <c r="BJ131" s="594"/>
      <c r="BK131" s="594"/>
    </row>
    <row r="132" spans="1:63" x14ac:dyDescent="0.25">
      <c r="B132" s="594"/>
      <c r="C132" s="594"/>
      <c r="D132" s="594"/>
      <c r="E132" s="594"/>
      <c r="F132" s="594"/>
      <c r="G132" s="594"/>
      <c r="H132" s="594"/>
      <c r="I132" s="594"/>
      <c r="J132" s="594"/>
      <c r="K132" s="594"/>
      <c r="L132" s="594"/>
      <c r="M132" s="594"/>
      <c r="N132" s="594"/>
      <c r="O132" s="594"/>
      <c r="P132" s="594"/>
      <c r="Q132" s="594"/>
      <c r="R132" s="594"/>
      <c r="S132" s="594"/>
      <c r="T132" s="594"/>
      <c r="U132" s="594"/>
      <c r="V132" s="594"/>
      <c r="W132" s="594"/>
      <c r="X132" s="594"/>
      <c r="Y132" s="594"/>
      <c r="Z132" s="594"/>
      <c r="AA132" s="594"/>
      <c r="AB132" s="594"/>
      <c r="AC132" s="594"/>
      <c r="AD132" s="594"/>
      <c r="AF132" s="594"/>
      <c r="AH132" s="594"/>
      <c r="AI132" s="594"/>
      <c r="AJ132" s="594"/>
      <c r="AK132" s="594"/>
      <c r="AL132" s="594"/>
      <c r="AM132" s="594"/>
      <c r="AN132" s="594"/>
      <c r="AO132" s="594"/>
      <c r="AP132" s="594"/>
      <c r="AQ132" s="594"/>
      <c r="AR132" s="594"/>
      <c r="AS132" s="594"/>
      <c r="AT132" s="594"/>
      <c r="AU132" s="594"/>
      <c r="AV132" s="594"/>
      <c r="AW132" s="594"/>
      <c r="AX132" s="594"/>
      <c r="AY132" s="594"/>
      <c r="AZ132" s="594"/>
      <c r="BA132" s="594"/>
      <c r="BB132" s="594"/>
      <c r="BC132" s="594"/>
      <c r="BD132" s="594"/>
      <c r="BE132" s="594"/>
      <c r="BF132" s="594"/>
      <c r="BG132" s="594"/>
      <c r="BH132" s="594"/>
      <c r="BI132" s="594"/>
      <c r="BJ132" s="594"/>
    </row>
    <row r="133" spans="1:63" x14ac:dyDescent="0.25">
      <c r="B133" s="594"/>
      <c r="C133" s="594"/>
      <c r="D133" s="594"/>
      <c r="E133" s="594"/>
      <c r="F133" s="594"/>
      <c r="G133" s="594"/>
      <c r="H133" s="594"/>
      <c r="I133" s="594"/>
      <c r="J133" s="594"/>
      <c r="K133" s="594"/>
      <c r="L133" s="594"/>
      <c r="M133" s="594"/>
      <c r="N133" s="594"/>
      <c r="O133" s="594"/>
      <c r="P133" s="594"/>
      <c r="Q133" s="594"/>
      <c r="R133" s="594"/>
      <c r="S133" s="594"/>
      <c r="T133" s="594"/>
      <c r="U133" s="594"/>
      <c r="V133" s="594"/>
      <c r="W133" s="594"/>
      <c r="X133" s="594"/>
      <c r="Y133" s="594"/>
      <c r="Z133" s="594"/>
      <c r="AA133" s="594"/>
      <c r="AB133" s="594"/>
      <c r="AC133" s="594"/>
      <c r="AD133" s="594"/>
      <c r="AF133" s="594"/>
      <c r="AH133" s="594"/>
      <c r="AI133" s="594"/>
      <c r="AJ133" s="594"/>
      <c r="AK133" s="594"/>
      <c r="AL133" s="594"/>
      <c r="AM133" s="594"/>
      <c r="AN133" s="594"/>
      <c r="AO133" s="594"/>
      <c r="AP133" s="594"/>
      <c r="AQ133" s="594"/>
      <c r="AR133" s="594"/>
      <c r="AS133" s="594"/>
      <c r="AT133" s="594"/>
      <c r="AU133" s="594"/>
      <c r="AV133" s="594"/>
      <c r="AW133" s="594"/>
      <c r="AX133" s="594"/>
      <c r="AY133" s="594"/>
      <c r="AZ133" s="594"/>
      <c r="BA133" s="594"/>
      <c r="BB133" s="594"/>
    </row>
    <row r="134" spans="1:63" x14ac:dyDescent="0.25">
      <c r="B134" s="594"/>
      <c r="C134" s="594"/>
      <c r="D134" s="594"/>
      <c r="E134" s="594"/>
      <c r="F134" s="594"/>
      <c r="G134" s="594"/>
      <c r="H134" s="594"/>
      <c r="I134" s="594"/>
      <c r="J134" s="594"/>
      <c r="K134" s="594"/>
      <c r="L134" s="594"/>
      <c r="M134" s="594"/>
      <c r="N134" s="594"/>
      <c r="AF134" s="594"/>
    </row>
    <row r="135" spans="1:63" x14ac:dyDescent="0.25">
      <c r="AF135" s="594"/>
      <c r="AH135" s="594"/>
      <c r="AI135" s="594"/>
      <c r="AJ135" s="594"/>
      <c r="AK135" s="594"/>
      <c r="AL135" s="594"/>
      <c r="AM135" s="594"/>
      <c r="AN135" s="594"/>
      <c r="AO135" s="594"/>
      <c r="AQ135" s="594"/>
      <c r="AR135" s="594"/>
      <c r="AS135" s="594"/>
      <c r="AT135" s="594"/>
      <c r="AU135" s="594"/>
      <c r="AV135" s="594"/>
      <c r="AW135" s="594"/>
      <c r="AX135" s="594"/>
      <c r="AY135" s="594"/>
      <c r="BA135" s="594"/>
      <c r="BB135" s="594"/>
      <c r="BC135" s="594"/>
      <c r="BD135" s="594"/>
      <c r="BE135" s="594"/>
      <c r="BF135" s="594"/>
      <c r="BG135" s="594"/>
      <c r="BH135" s="594"/>
      <c r="BI135" s="594"/>
      <c r="BJ135" s="594"/>
    </row>
    <row r="136" spans="1:63" x14ac:dyDescent="0.25">
      <c r="B136" s="594"/>
      <c r="C136" s="594"/>
      <c r="D136" s="594"/>
      <c r="E136" s="594"/>
      <c r="F136" s="594"/>
      <c r="G136" s="594"/>
      <c r="H136" s="594"/>
      <c r="J136" s="594"/>
      <c r="K136" s="594"/>
      <c r="L136" s="594"/>
      <c r="M136" s="594"/>
      <c r="N136" s="594"/>
      <c r="O136" s="594"/>
      <c r="P136" s="594"/>
      <c r="Q136" s="594"/>
      <c r="S136" s="594"/>
      <c r="T136" s="594"/>
      <c r="U136" s="594"/>
      <c r="V136" s="594"/>
      <c r="W136" s="594"/>
      <c r="X136" s="594"/>
      <c r="Y136" s="594"/>
      <c r="Z136" s="594"/>
      <c r="AA136" s="594"/>
      <c r="AB136" s="594"/>
      <c r="AF136" s="594"/>
      <c r="AH136" s="594"/>
      <c r="AI136" s="594"/>
      <c r="AJ136" s="594"/>
      <c r="AK136" s="594"/>
      <c r="AL136" s="594"/>
      <c r="AM136" s="594"/>
      <c r="AN136" s="594"/>
      <c r="AO136" s="594"/>
      <c r="AQ136" s="594"/>
      <c r="AR136" s="594"/>
      <c r="AS136" s="594"/>
      <c r="AT136" s="594"/>
      <c r="AU136" s="594"/>
      <c r="AV136" s="594"/>
      <c r="AW136" s="594"/>
      <c r="AX136" s="594"/>
      <c r="AY136" s="594"/>
    </row>
    <row r="137" spans="1:63" x14ac:dyDescent="0.25">
      <c r="B137" s="594"/>
      <c r="C137" s="594"/>
      <c r="D137" s="594"/>
      <c r="E137" s="594"/>
      <c r="F137" s="594"/>
      <c r="G137" s="594"/>
      <c r="H137" s="594"/>
      <c r="J137" s="594"/>
      <c r="K137" s="594"/>
      <c r="L137" s="594"/>
      <c r="M137" s="594"/>
      <c r="N137" s="594"/>
      <c r="O137" s="594"/>
      <c r="P137" s="594"/>
      <c r="Q137" s="594"/>
      <c r="AF137" s="594"/>
      <c r="AH137" s="594"/>
      <c r="AI137" s="594"/>
      <c r="AJ137" s="594"/>
      <c r="AK137" s="594"/>
      <c r="AL137" s="594"/>
      <c r="AM137" s="594"/>
      <c r="AN137" s="594"/>
      <c r="AO137" s="594"/>
      <c r="AP137" s="594"/>
      <c r="AQ137" s="594"/>
      <c r="AR137" s="594"/>
      <c r="AS137" s="594"/>
      <c r="AT137" s="594"/>
      <c r="AU137" s="594"/>
      <c r="AV137" s="594"/>
      <c r="AW137" s="594"/>
      <c r="AX137" s="594"/>
      <c r="AY137" s="594"/>
      <c r="AZ137" s="594"/>
      <c r="BA137" s="594"/>
      <c r="BB137" s="594"/>
      <c r="BC137" s="594"/>
      <c r="BD137" s="594"/>
      <c r="BE137" s="594"/>
      <c r="BF137" s="594"/>
      <c r="BG137" s="594"/>
      <c r="BH137" s="594"/>
    </row>
    <row r="138" spans="1:63" x14ac:dyDescent="0.25">
      <c r="A138" s="594"/>
      <c r="B138" s="594"/>
      <c r="C138" s="594"/>
      <c r="D138" s="594"/>
      <c r="E138" s="594"/>
      <c r="F138" s="594"/>
      <c r="G138" s="594"/>
      <c r="H138" s="594"/>
      <c r="I138" s="594"/>
      <c r="J138" s="594"/>
      <c r="K138" s="594"/>
      <c r="L138" s="594"/>
      <c r="M138" s="594"/>
      <c r="N138" s="594"/>
      <c r="O138" s="594"/>
      <c r="P138" s="594"/>
      <c r="Q138" s="594"/>
      <c r="R138" s="594"/>
      <c r="S138" s="594"/>
      <c r="T138" s="594"/>
      <c r="U138" s="594"/>
      <c r="V138" s="594"/>
      <c r="W138" s="594"/>
      <c r="X138" s="594"/>
      <c r="Y138" s="594"/>
      <c r="Z138" s="594"/>
      <c r="AA138" s="594"/>
      <c r="AB138" s="594"/>
      <c r="AC138" s="594"/>
      <c r="AD138" s="594"/>
      <c r="AE138" s="594"/>
      <c r="AF138" s="594"/>
      <c r="AG138" s="594"/>
      <c r="AH138" s="594"/>
      <c r="AI138" s="594"/>
      <c r="AJ138" s="594"/>
      <c r="AK138" s="594"/>
      <c r="AL138" s="594"/>
      <c r="AM138" s="594"/>
      <c r="AN138" s="594"/>
      <c r="AO138" s="594"/>
      <c r="AP138" s="594"/>
      <c r="AQ138" s="594"/>
      <c r="AR138" s="594"/>
      <c r="AS138" s="594"/>
      <c r="AT138" s="594"/>
      <c r="AU138" s="594"/>
      <c r="AV138" s="594"/>
      <c r="AW138" s="594"/>
      <c r="AX138" s="594"/>
      <c r="AY138" s="594"/>
      <c r="AZ138" s="594"/>
      <c r="BA138" s="594"/>
      <c r="BB138" s="594"/>
      <c r="BC138" s="594"/>
      <c r="BD138" s="594"/>
      <c r="BE138" s="594"/>
      <c r="BF138" s="594"/>
      <c r="BG138" s="594"/>
      <c r="BH138" s="594"/>
      <c r="BI138" s="594"/>
      <c r="BJ138" s="594"/>
      <c r="BK138" s="594"/>
    </row>
    <row r="139" spans="1:63" x14ac:dyDescent="0.25">
      <c r="AF139" s="594"/>
      <c r="AH139" s="594"/>
      <c r="AI139" s="594"/>
      <c r="AJ139" s="594"/>
      <c r="AK139" s="594"/>
      <c r="AL139" s="594"/>
      <c r="AM139" s="594"/>
      <c r="AN139" s="594"/>
      <c r="AO139" s="594"/>
      <c r="AP139" s="594"/>
      <c r="AQ139" s="594"/>
      <c r="AR139" s="594"/>
      <c r="AS139" s="594"/>
      <c r="AT139" s="594"/>
      <c r="AU139" s="594"/>
      <c r="AV139" s="594"/>
      <c r="AW139" s="594"/>
      <c r="AX139" s="594"/>
      <c r="AY139" s="594"/>
      <c r="AZ139" s="594"/>
      <c r="BA139" s="594"/>
      <c r="BB139" s="594"/>
      <c r="BC139" s="594"/>
      <c r="BD139" s="594"/>
      <c r="BE139" s="594"/>
      <c r="BF139" s="594"/>
      <c r="BG139" s="594"/>
      <c r="BH139" s="594"/>
      <c r="BI139" s="594"/>
      <c r="BJ139" s="594"/>
    </row>
    <row r="140" spans="1:63" x14ac:dyDescent="0.25">
      <c r="R140" s="594"/>
      <c r="S140" s="594"/>
      <c r="T140" s="594"/>
      <c r="U140" s="594"/>
      <c r="V140" s="594"/>
      <c r="W140" s="594"/>
      <c r="X140" s="594"/>
      <c r="Y140" s="594"/>
      <c r="Z140" s="594"/>
      <c r="AA140" s="594"/>
      <c r="AB140" s="594"/>
      <c r="AC140" s="594"/>
      <c r="AD140" s="594"/>
      <c r="AF140" s="594"/>
      <c r="AH140" s="594"/>
      <c r="AI140" s="594"/>
      <c r="AJ140" s="594"/>
      <c r="AK140" s="594"/>
      <c r="AL140" s="594"/>
      <c r="AM140" s="594"/>
      <c r="AN140" s="594"/>
      <c r="AO140" s="594"/>
      <c r="AP140" s="594"/>
      <c r="AQ140" s="594"/>
      <c r="AR140" s="594"/>
      <c r="AS140" s="594"/>
      <c r="AT140" s="594"/>
      <c r="AU140" s="594"/>
      <c r="AV140" s="594"/>
      <c r="AW140" s="594"/>
      <c r="AX140" s="594"/>
      <c r="AY140" s="594"/>
      <c r="AZ140" s="594"/>
      <c r="BA140" s="594"/>
      <c r="BB140" s="594"/>
      <c r="BC140" s="594"/>
      <c r="BD140" s="594"/>
      <c r="BE140" s="594"/>
      <c r="BF140" s="594"/>
      <c r="BG140" s="594"/>
      <c r="BH140" s="594"/>
      <c r="BI140" s="594"/>
      <c r="BJ140" s="594"/>
    </row>
    <row r="141" spans="1:63" x14ac:dyDescent="0.25">
      <c r="R141" s="594"/>
      <c r="S141" s="594"/>
      <c r="T141" s="594"/>
      <c r="U141" s="594"/>
      <c r="V141" s="594"/>
      <c r="W141" s="594"/>
      <c r="X141" s="594"/>
      <c r="Y141" s="594"/>
      <c r="Z141" s="594"/>
      <c r="AA141" s="594"/>
      <c r="AB141" s="594"/>
      <c r="AC141" s="594"/>
      <c r="AD141" s="594"/>
      <c r="AF141" s="594"/>
      <c r="AH141" s="594"/>
      <c r="AI141" s="594"/>
      <c r="AJ141" s="594"/>
      <c r="AK141" s="594"/>
      <c r="AL141" s="594"/>
      <c r="AM141" s="594"/>
      <c r="AN141" s="594"/>
      <c r="AO141" s="594"/>
      <c r="AP141" s="594"/>
      <c r="AQ141" s="594"/>
      <c r="AR141" s="594"/>
      <c r="AS141" s="594"/>
      <c r="AT141" s="594"/>
      <c r="AU141" s="594"/>
      <c r="AV141" s="594"/>
      <c r="AW141" s="594"/>
      <c r="AX141" s="594"/>
      <c r="AY141" s="594"/>
      <c r="AZ141" s="594"/>
      <c r="BA141" s="594"/>
      <c r="BB141" s="594"/>
      <c r="BC141" s="594"/>
      <c r="BD141" s="594"/>
      <c r="BE141" s="594"/>
      <c r="BF141" s="594"/>
      <c r="BG141" s="594"/>
      <c r="BH141" s="594"/>
      <c r="BI141" s="594"/>
      <c r="BJ141" s="594"/>
    </row>
    <row r="142" spans="1:63" x14ac:dyDescent="0.25">
      <c r="R142" s="594"/>
      <c r="S142" s="594"/>
      <c r="T142" s="594"/>
      <c r="U142" s="594"/>
      <c r="V142" s="594"/>
      <c r="W142" s="594"/>
      <c r="X142" s="594"/>
      <c r="Y142" s="594"/>
      <c r="Z142" s="594"/>
      <c r="AA142" s="594"/>
      <c r="AB142" s="594"/>
      <c r="AC142" s="594"/>
      <c r="AD142" s="594"/>
      <c r="AF142" s="594"/>
      <c r="AH142" s="594"/>
      <c r="AI142" s="594"/>
      <c r="AJ142" s="594"/>
      <c r="AK142" s="594"/>
      <c r="AL142" s="594"/>
      <c r="AM142" s="594"/>
      <c r="AN142" s="594"/>
      <c r="AO142" s="594"/>
      <c r="AP142" s="594"/>
      <c r="AQ142" s="594"/>
      <c r="AR142" s="594"/>
      <c r="AS142" s="594"/>
      <c r="AT142" s="594"/>
      <c r="AU142" s="594"/>
      <c r="AV142" s="594"/>
      <c r="AW142" s="594"/>
      <c r="AX142" s="594"/>
      <c r="AY142" s="594"/>
      <c r="AZ142" s="594"/>
      <c r="BA142" s="594"/>
      <c r="BB142" s="594"/>
      <c r="BC142" s="594"/>
      <c r="BD142" s="594"/>
      <c r="BE142" s="594"/>
      <c r="BF142" s="594"/>
      <c r="BG142" s="594"/>
      <c r="BH142" s="594"/>
      <c r="BI142" s="594"/>
      <c r="BJ142" s="594"/>
    </row>
    <row r="143" spans="1:63" x14ac:dyDescent="0.25">
      <c r="R143" s="594"/>
      <c r="S143" s="594"/>
      <c r="T143" s="594"/>
      <c r="U143" s="594"/>
      <c r="V143" s="594"/>
      <c r="W143" s="594"/>
      <c r="X143" s="594"/>
      <c r="Y143" s="594"/>
      <c r="Z143" s="594"/>
      <c r="AA143" s="594"/>
      <c r="AB143" s="594"/>
      <c r="AC143" s="594"/>
      <c r="AD143" s="594"/>
      <c r="AF143" s="594"/>
      <c r="AH143" s="594"/>
      <c r="AI143" s="594"/>
      <c r="AJ143" s="594"/>
      <c r="AK143" s="594"/>
      <c r="AL143" s="594"/>
      <c r="AM143" s="594"/>
      <c r="AN143" s="594"/>
      <c r="AO143" s="594"/>
      <c r="AP143" s="594"/>
      <c r="AQ143" s="594"/>
      <c r="AR143" s="594"/>
      <c r="AS143" s="594"/>
      <c r="AT143" s="594"/>
      <c r="AU143" s="594"/>
      <c r="AV143" s="594"/>
      <c r="AW143" s="594"/>
      <c r="AX143" s="594"/>
      <c r="AY143" s="594"/>
      <c r="AZ143" s="594"/>
      <c r="BA143" s="594"/>
      <c r="BB143" s="594"/>
      <c r="BC143" s="594"/>
      <c r="BD143" s="594"/>
      <c r="BE143" s="594"/>
      <c r="BF143" s="594"/>
      <c r="BG143" s="594"/>
      <c r="BH143" s="594"/>
      <c r="BI143" s="594"/>
      <c r="BJ143" s="594"/>
    </row>
    <row r="144" spans="1:63" x14ac:dyDescent="0.25">
      <c r="R144" s="594"/>
      <c r="S144" s="594"/>
      <c r="T144" s="594"/>
      <c r="U144" s="594"/>
      <c r="V144" s="594"/>
      <c r="W144" s="594"/>
      <c r="X144" s="594"/>
      <c r="Y144" s="594"/>
      <c r="Z144" s="594"/>
      <c r="AA144" s="594"/>
      <c r="AB144" s="594"/>
      <c r="AC144" s="594"/>
      <c r="AD144" s="594"/>
      <c r="AF144" s="594"/>
      <c r="AH144" s="594"/>
      <c r="AI144" s="594"/>
      <c r="AJ144" s="594"/>
      <c r="AK144" s="594"/>
      <c r="AL144" s="594"/>
      <c r="AM144" s="594"/>
      <c r="AN144" s="594"/>
      <c r="AO144" s="594"/>
      <c r="AP144" s="594"/>
      <c r="AQ144" s="594"/>
      <c r="AR144" s="594"/>
      <c r="AS144" s="594"/>
      <c r="AT144" s="594"/>
      <c r="AU144" s="594"/>
      <c r="AV144" s="594"/>
      <c r="AW144" s="594"/>
      <c r="AX144" s="594"/>
      <c r="AY144" s="594"/>
      <c r="AZ144" s="594"/>
      <c r="BA144" s="594"/>
      <c r="BB144" s="594"/>
      <c r="BC144" s="594"/>
      <c r="BD144" s="594"/>
      <c r="BE144" s="594"/>
      <c r="BF144" s="594"/>
      <c r="BG144" s="594"/>
      <c r="BH144" s="594"/>
      <c r="BI144" s="594"/>
      <c r="BJ144" s="594"/>
    </row>
    <row r="145" spans="2:63" x14ac:dyDescent="0.25">
      <c r="R145" s="594"/>
      <c r="S145" s="594"/>
      <c r="T145" s="594"/>
      <c r="U145" s="594"/>
      <c r="V145" s="594"/>
      <c r="W145" s="594"/>
      <c r="X145" s="594"/>
      <c r="Y145" s="594"/>
      <c r="Z145" s="594"/>
      <c r="AA145" s="594"/>
      <c r="AB145" s="594"/>
      <c r="AC145" s="594"/>
      <c r="AD145" s="594"/>
      <c r="AF145" s="594"/>
      <c r="AH145" s="594"/>
      <c r="AI145" s="594"/>
      <c r="AJ145" s="594"/>
      <c r="AK145" s="594"/>
      <c r="AL145" s="594"/>
      <c r="AM145" s="594"/>
      <c r="AN145" s="594"/>
      <c r="AO145" s="594"/>
      <c r="AP145" s="594"/>
      <c r="AQ145" s="594"/>
      <c r="AR145" s="594"/>
      <c r="AS145" s="594"/>
      <c r="AT145" s="594"/>
      <c r="AU145" s="594"/>
      <c r="AV145" s="594"/>
      <c r="AW145" s="594"/>
      <c r="AX145" s="594"/>
      <c r="AY145" s="594"/>
      <c r="AZ145" s="594"/>
      <c r="BA145" s="594"/>
      <c r="BB145" s="594"/>
      <c r="BC145" s="594"/>
      <c r="BD145" s="594"/>
      <c r="BE145" s="594"/>
      <c r="BF145" s="594"/>
      <c r="BG145" s="594"/>
      <c r="BH145" s="594"/>
      <c r="BI145" s="594"/>
      <c r="BJ145" s="594"/>
    </row>
    <row r="146" spans="2:63" x14ac:dyDescent="0.25">
      <c r="S146" s="594"/>
      <c r="T146" s="594"/>
      <c r="U146" s="594"/>
      <c r="V146" s="594"/>
      <c r="W146" s="594"/>
      <c r="X146" s="594"/>
      <c r="Y146" s="594"/>
      <c r="Z146" s="594"/>
      <c r="AA146" s="594"/>
      <c r="AB146" s="594"/>
      <c r="AC146" s="594"/>
      <c r="AD146" s="594"/>
      <c r="AF146" s="594"/>
      <c r="AH146" s="594"/>
      <c r="AI146" s="594"/>
      <c r="AJ146" s="594"/>
      <c r="AK146" s="594"/>
      <c r="AL146" s="594"/>
      <c r="AM146" s="594"/>
      <c r="AN146" s="594"/>
      <c r="AO146" s="594"/>
      <c r="AQ146" s="594"/>
      <c r="AR146" s="594"/>
      <c r="AS146" s="594"/>
      <c r="AT146" s="594"/>
      <c r="AU146" s="594"/>
      <c r="AV146" s="594"/>
      <c r="AW146" s="594"/>
      <c r="AX146" s="594"/>
      <c r="AY146" s="594"/>
      <c r="BA146" s="594"/>
      <c r="BB146" s="594"/>
      <c r="BC146" s="594"/>
      <c r="BD146" s="594"/>
      <c r="BE146" s="594"/>
      <c r="BF146" s="594"/>
      <c r="BG146" s="594"/>
      <c r="BH146" s="594"/>
      <c r="BI146" s="594"/>
      <c r="BJ146" s="594"/>
    </row>
    <row r="147" spans="2:63" x14ac:dyDescent="0.25">
      <c r="S147" s="594"/>
      <c r="T147" s="594"/>
      <c r="U147" s="594"/>
      <c r="V147" s="594"/>
      <c r="W147" s="594"/>
      <c r="X147" s="594"/>
      <c r="Y147" s="594"/>
      <c r="Z147" s="594"/>
      <c r="AA147" s="594"/>
      <c r="AB147" s="594"/>
      <c r="AC147" s="594"/>
      <c r="AD147" s="594"/>
      <c r="AF147" s="594"/>
      <c r="AH147" s="594"/>
      <c r="AI147" s="594"/>
      <c r="AJ147" s="594"/>
      <c r="AK147" s="594"/>
      <c r="AL147" s="594"/>
      <c r="AM147" s="594"/>
      <c r="AN147" s="594"/>
      <c r="AO147" s="594"/>
      <c r="AQ147" s="594"/>
      <c r="AR147" s="594"/>
      <c r="AS147" s="594"/>
      <c r="AT147" s="594"/>
      <c r="AU147" s="594"/>
      <c r="AV147" s="594"/>
      <c r="AW147" s="594"/>
      <c r="AX147" s="594"/>
      <c r="AY147" s="594"/>
    </row>
    <row r="148" spans="2:63" x14ac:dyDescent="0.25">
      <c r="AF148" s="594"/>
      <c r="AH148" s="594"/>
      <c r="AI148" s="594"/>
      <c r="AJ148" s="594"/>
      <c r="AK148" s="594"/>
      <c r="AL148" s="594"/>
      <c r="AM148" s="594"/>
      <c r="AN148" s="594"/>
      <c r="AO148" s="594"/>
      <c r="AP148" s="594"/>
      <c r="AQ148" s="594"/>
      <c r="AR148" s="594"/>
      <c r="AS148" s="594"/>
      <c r="AT148" s="594"/>
      <c r="AU148" s="594"/>
      <c r="AV148" s="594"/>
      <c r="AW148" s="594"/>
      <c r="AX148" s="594"/>
      <c r="AY148" s="594"/>
      <c r="AZ148" s="594"/>
      <c r="BA148" s="594"/>
      <c r="BB148" s="594"/>
      <c r="BC148" s="594"/>
      <c r="BD148" s="594"/>
      <c r="BE148" s="594"/>
      <c r="BF148" s="594"/>
      <c r="BG148" s="594"/>
      <c r="BH148" s="594"/>
    </row>
    <row r="149" spans="2:63" x14ac:dyDescent="0.25">
      <c r="AF149" s="594"/>
      <c r="AH149" s="594"/>
      <c r="AI149" s="594"/>
      <c r="AJ149" s="594"/>
      <c r="AK149" s="594"/>
      <c r="AL149" s="594"/>
      <c r="AM149" s="594"/>
      <c r="AN149" s="594"/>
      <c r="AO149" s="594"/>
      <c r="AP149" s="594"/>
      <c r="AQ149" s="594"/>
      <c r="AR149" s="594"/>
      <c r="AS149" s="594"/>
      <c r="AT149" s="594"/>
      <c r="AU149" s="594"/>
      <c r="AV149" s="594"/>
      <c r="AW149" s="594"/>
      <c r="AX149" s="594"/>
      <c r="AY149" s="594"/>
      <c r="AZ149" s="594"/>
      <c r="BA149" s="594"/>
      <c r="BB149" s="594"/>
      <c r="BC149" s="594"/>
      <c r="BD149" s="594"/>
      <c r="BE149" s="594"/>
      <c r="BF149" s="594"/>
      <c r="BG149" s="594"/>
      <c r="BH149" s="594"/>
    </row>
    <row r="150" spans="2:63" x14ac:dyDescent="0.25">
      <c r="D150" s="594"/>
      <c r="E150" s="594"/>
      <c r="F150" s="594"/>
      <c r="G150" s="594"/>
      <c r="H150" s="594"/>
      <c r="J150" s="594"/>
      <c r="K150" s="594"/>
      <c r="L150" s="594"/>
      <c r="M150" s="594"/>
      <c r="N150" s="594"/>
      <c r="O150" s="594"/>
      <c r="P150" s="594"/>
      <c r="R150" s="594"/>
      <c r="S150" s="594"/>
      <c r="U150" s="594"/>
      <c r="V150" s="594"/>
      <c r="W150" s="594"/>
      <c r="X150" s="594"/>
      <c r="Y150" s="594"/>
      <c r="Z150" s="594"/>
      <c r="AA150" s="594"/>
      <c r="AB150" s="594"/>
      <c r="AC150" s="594"/>
      <c r="AD150" s="594"/>
      <c r="AF150" s="594"/>
      <c r="AH150" s="594"/>
      <c r="AI150" s="594"/>
      <c r="AJ150" s="594"/>
      <c r="AK150" s="594"/>
      <c r="AL150" s="594"/>
      <c r="AM150" s="594"/>
      <c r="AN150" s="594"/>
      <c r="AO150" s="594"/>
      <c r="AP150" s="594"/>
      <c r="AQ150" s="594"/>
      <c r="AR150" s="594"/>
      <c r="AS150" s="594"/>
      <c r="AT150" s="594"/>
      <c r="AU150" s="594"/>
      <c r="AV150" s="594"/>
      <c r="AW150" s="594"/>
      <c r="AX150" s="594"/>
      <c r="AY150" s="594"/>
      <c r="AZ150" s="594"/>
      <c r="BA150" s="594"/>
      <c r="BB150" s="594"/>
      <c r="BC150" s="594"/>
      <c r="BD150" s="594"/>
      <c r="BE150" s="594"/>
      <c r="BF150" s="594"/>
      <c r="BG150" s="594"/>
      <c r="BH150" s="594"/>
    </row>
    <row r="151" spans="2:63" x14ac:dyDescent="0.25">
      <c r="J151" s="594"/>
      <c r="K151" s="594"/>
      <c r="L151" s="594"/>
      <c r="M151" s="594"/>
      <c r="N151" s="594"/>
      <c r="O151" s="594"/>
      <c r="P151" s="594"/>
      <c r="AF151" s="594"/>
      <c r="AH151" s="594"/>
      <c r="AI151" s="594"/>
      <c r="AJ151" s="594"/>
      <c r="AK151" s="594"/>
      <c r="AL151" s="594"/>
      <c r="AM151" s="594"/>
      <c r="AN151" s="594"/>
      <c r="AO151" s="594"/>
      <c r="AP151" s="594"/>
      <c r="AQ151" s="594"/>
      <c r="AR151" s="594"/>
      <c r="AS151" s="594"/>
      <c r="AT151" s="594"/>
      <c r="AU151" s="594"/>
      <c r="AV151" s="594"/>
      <c r="AW151" s="594"/>
      <c r="AX151" s="594"/>
      <c r="AY151" s="594"/>
      <c r="AZ151" s="594"/>
      <c r="BA151" s="594"/>
      <c r="BB151" s="594"/>
      <c r="BC151" s="594"/>
      <c r="BD151" s="594"/>
      <c r="BE151" s="594"/>
      <c r="BF151" s="594"/>
      <c r="BG151" s="594"/>
      <c r="BH151" s="594"/>
    </row>
    <row r="152" spans="2:63" x14ac:dyDescent="0.25">
      <c r="AF152" s="594"/>
      <c r="AG152" s="594"/>
      <c r="AH152" s="594"/>
      <c r="AI152" s="594"/>
      <c r="AJ152" s="594"/>
      <c r="AK152" s="594"/>
      <c r="AL152" s="594"/>
      <c r="AM152" s="594"/>
      <c r="AN152" s="594"/>
      <c r="AO152" s="594"/>
      <c r="AP152" s="594"/>
      <c r="AQ152" s="594"/>
      <c r="AR152" s="594"/>
      <c r="AS152" s="594"/>
      <c r="AT152" s="594"/>
      <c r="AU152" s="594"/>
      <c r="AV152" s="594"/>
      <c r="AW152" s="594"/>
      <c r="AX152" s="594"/>
      <c r="AY152" s="594"/>
      <c r="AZ152" s="594"/>
      <c r="BA152" s="594"/>
      <c r="BB152" s="594"/>
      <c r="BC152" s="594"/>
      <c r="BD152" s="594"/>
      <c r="BE152" s="594"/>
      <c r="BF152" s="594"/>
      <c r="BG152" s="594"/>
      <c r="BH152" s="594"/>
      <c r="BI152" s="594"/>
      <c r="BJ152" s="594"/>
      <c r="BK152" s="594"/>
    </row>
    <row r="153" spans="2:63" x14ac:dyDescent="0.25">
      <c r="AF153" s="594"/>
      <c r="AH153" s="594"/>
      <c r="AI153" s="594"/>
      <c r="AJ153" s="594"/>
      <c r="AK153" s="594"/>
      <c r="AL153" s="594"/>
      <c r="AM153" s="594"/>
      <c r="AN153" s="594"/>
      <c r="AO153" s="594"/>
      <c r="AP153" s="594"/>
      <c r="AQ153" s="594"/>
      <c r="AR153" s="594"/>
      <c r="AS153" s="594"/>
      <c r="AT153" s="594"/>
      <c r="AU153" s="594"/>
      <c r="AV153" s="594"/>
      <c r="AW153" s="594"/>
      <c r="AX153" s="594"/>
      <c r="AY153" s="594"/>
      <c r="AZ153" s="594"/>
      <c r="BA153" s="594"/>
      <c r="BB153" s="594"/>
      <c r="BC153" s="594"/>
      <c r="BD153" s="594"/>
      <c r="BE153" s="594"/>
      <c r="BF153" s="594"/>
      <c r="BG153" s="594"/>
      <c r="BH153" s="594"/>
      <c r="BI153" s="594"/>
      <c r="BJ153" s="594"/>
    </row>
    <row r="154" spans="2:63" x14ac:dyDescent="0.25">
      <c r="AF154" s="594"/>
      <c r="AH154" s="594"/>
      <c r="AI154" s="594"/>
      <c r="AJ154" s="594"/>
      <c r="AK154" s="594"/>
      <c r="AL154" s="594"/>
      <c r="AM154" s="594"/>
      <c r="AN154" s="594"/>
      <c r="AO154" s="594"/>
      <c r="AP154" s="594"/>
      <c r="AQ154" s="594"/>
      <c r="AR154" s="594"/>
      <c r="AS154" s="594"/>
      <c r="AT154" s="594"/>
      <c r="AU154" s="594"/>
      <c r="AV154" s="594"/>
      <c r="AW154" s="594"/>
      <c r="AX154" s="594"/>
      <c r="AY154" s="594"/>
      <c r="AZ154" s="594"/>
      <c r="BA154" s="594"/>
      <c r="BB154" s="594"/>
      <c r="BC154" s="594"/>
      <c r="BD154" s="594"/>
      <c r="BE154" s="594"/>
      <c r="BF154" s="594"/>
      <c r="BG154" s="594"/>
      <c r="BH154" s="594"/>
      <c r="BI154" s="594"/>
      <c r="BJ154" s="594"/>
    </row>
    <row r="155" spans="2:63" x14ac:dyDescent="0.25">
      <c r="AF155" s="594"/>
      <c r="AH155" s="594"/>
      <c r="AI155" s="594"/>
      <c r="AJ155" s="594"/>
      <c r="AK155" s="594"/>
      <c r="AL155" s="594"/>
      <c r="AM155" s="594"/>
      <c r="AN155" s="594"/>
      <c r="AO155" s="594"/>
      <c r="AP155" s="594"/>
      <c r="AQ155" s="594"/>
      <c r="AR155" s="594"/>
      <c r="AS155" s="594"/>
      <c r="AT155" s="594"/>
      <c r="AU155" s="594"/>
      <c r="AV155" s="594"/>
      <c r="AW155" s="594"/>
      <c r="AX155" s="594"/>
      <c r="AY155" s="594"/>
      <c r="AZ155" s="594"/>
      <c r="BA155" s="594"/>
      <c r="BB155" s="594"/>
      <c r="BC155" s="594"/>
      <c r="BD155" s="594"/>
      <c r="BE155" s="594"/>
      <c r="BF155" s="594"/>
      <c r="BG155" s="594"/>
      <c r="BH155" s="594"/>
      <c r="BI155" s="594"/>
      <c r="BJ155" s="594"/>
    </row>
    <row r="156" spans="2:63" x14ac:dyDescent="0.25">
      <c r="B156" s="594"/>
      <c r="C156" s="594"/>
      <c r="D156" s="594"/>
      <c r="E156" s="594"/>
      <c r="F156" s="594"/>
      <c r="G156" s="594"/>
      <c r="H156" s="594"/>
      <c r="J156" s="594"/>
      <c r="K156" s="594"/>
      <c r="L156" s="594"/>
      <c r="M156" s="594"/>
      <c r="N156" s="594"/>
      <c r="O156" s="594"/>
      <c r="P156" s="594"/>
      <c r="Q156" s="594"/>
      <c r="S156" s="594"/>
      <c r="T156" s="594"/>
      <c r="U156" s="594"/>
      <c r="V156" s="594"/>
      <c r="W156" s="594"/>
      <c r="X156" s="594"/>
      <c r="Y156" s="594"/>
      <c r="Z156" s="594"/>
      <c r="AA156" s="594"/>
      <c r="AB156" s="594"/>
      <c r="AC156" s="594"/>
      <c r="AD156" s="594"/>
      <c r="AF156" s="594"/>
      <c r="AH156" s="594"/>
      <c r="AI156" s="594"/>
      <c r="AJ156" s="594"/>
      <c r="AK156" s="594"/>
      <c r="AL156" s="594"/>
      <c r="AM156" s="594"/>
      <c r="AN156" s="594"/>
      <c r="AO156" s="594"/>
      <c r="AP156" s="594"/>
      <c r="AQ156" s="594"/>
      <c r="AR156" s="594"/>
      <c r="AS156" s="594"/>
      <c r="AT156" s="594"/>
      <c r="AU156" s="594"/>
      <c r="AV156" s="594"/>
      <c r="AW156" s="594"/>
      <c r="AX156" s="594"/>
      <c r="AY156" s="594"/>
      <c r="AZ156" s="594"/>
      <c r="BA156" s="594"/>
      <c r="BB156" s="594"/>
      <c r="BC156" s="594"/>
      <c r="BD156" s="594"/>
      <c r="BE156" s="594"/>
      <c r="BF156" s="594"/>
      <c r="BG156" s="594"/>
      <c r="BH156" s="594"/>
      <c r="BI156" s="594"/>
      <c r="BJ156" s="594"/>
    </row>
    <row r="157" spans="2:63" x14ac:dyDescent="0.25">
      <c r="B157" s="594"/>
      <c r="C157" s="594"/>
      <c r="D157" s="594"/>
      <c r="E157" s="594"/>
      <c r="F157" s="594"/>
      <c r="G157" s="594"/>
      <c r="H157" s="594"/>
      <c r="J157" s="594"/>
      <c r="K157" s="594"/>
      <c r="L157" s="594"/>
      <c r="M157" s="594"/>
      <c r="N157" s="594"/>
      <c r="O157" s="594"/>
      <c r="P157" s="594"/>
      <c r="Q157" s="594"/>
      <c r="AF157" s="594"/>
      <c r="AH157" s="594"/>
      <c r="AI157" s="594"/>
      <c r="AJ157" s="594"/>
      <c r="AK157" s="594"/>
      <c r="AL157" s="594"/>
      <c r="AM157" s="594"/>
      <c r="AN157" s="594"/>
      <c r="AO157" s="594"/>
      <c r="AQ157" s="594"/>
      <c r="AR157" s="594"/>
      <c r="AS157" s="594"/>
      <c r="AT157" s="594"/>
      <c r="AU157" s="594"/>
      <c r="AV157" s="594"/>
      <c r="AW157" s="594"/>
      <c r="AX157" s="594"/>
      <c r="AY157" s="594"/>
      <c r="BA157" s="594"/>
      <c r="BB157" s="594"/>
      <c r="BC157" s="594"/>
      <c r="BD157" s="594"/>
      <c r="BE157" s="594"/>
      <c r="BF157" s="594"/>
      <c r="BG157" s="594"/>
      <c r="BH157" s="594"/>
      <c r="BI157" s="594"/>
      <c r="BJ157" s="594"/>
    </row>
    <row r="158" spans="2:63" x14ac:dyDescent="0.25">
      <c r="AF158" s="594"/>
      <c r="AH158" s="594"/>
      <c r="AI158" s="594"/>
      <c r="AJ158" s="594"/>
      <c r="AK158" s="594"/>
      <c r="AL158" s="594"/>
      <c r="AM158" s="594"/>
      <c r="AN158" s="594"/>
      <c r="AO158" s="594"/>
      <c r="AQ158" s="594"/>
      <c r="AR158" s="594"/>
      <c r="AS158" s="594"/>
      <c r="AT158" s="594"/>
      <c r="AU158" s="594"/>
      <c r="AV158" s="594"/>
      <c r="AW158" s="594"/>
      <c r="AX158" s="594"/>
      <c r="AY158" s="594"/>
    </row>
    <row r="159" spans="2:63" x14ac:dyDescent="0.25">
      <c r="AF159" s="594"/>
      <c r="AH159" s="594"/>
      <c r="AI159" s="594"/>
      <c r="AJ159" s="594"/>
      <c r="AK159" s="594"/>
      <c r="AL159" s="594"/>
      <c r="AM159" s="594"/>
      <c r="AN159" s="594"/>
      <c r="AO159" s="594"/>
      <c r="AP159" s="594"/>
      <c r="AQ159" s="594"/>
      <c r="AR159" s="594"/>
      <c r="AS159" s="594"/>
      <c r="AT159" s="594"/>
      <c r="AU159" s="594"/>
      <c r="AV159" s="594"/>
      <c r="AW159" s="594"/>
      <c r="AX159" s="594"/>
      <c r="AY159" s="594"/>
      <c r="AZ159" s="594"/>
      <c r="BA159" s="594"/>
      <c r="BB159" s="594"/>
      <c r="BC159" s="594"/>
      <c r="BD159" s="594"/>
      <c r="BE159" s="594"/>
      <c r="BF159" s="594"/>
      <c r="BG159" s="594"/>
      <c r="BH159" s="594"/>
      <c r="BI159" s="594"/>
      <c r="BJ159" s="594"/>
    </row>
    <row r="160" spans="2:63" x14ac:dyDescent="0.25">
      <c r="AF160" s="594"/>
      <c r="AH160" s="594"/>
      <c r="AI160" s="594"/>
      <c r="AJ160" s="594"/>
      <c r="AK160" s="594"/>
      <c r="AL160" s="594"/>
      <c r="AM160" s="594"/>
      <c r="AN160" s="594"/>
      <c r="AO160" s="594"/>
      <c r="AP160" s="594"/>
      <c r="AQ160" s="594"/>
      <c r="AR160" s="594"/>
      <c r="AS160" s="594"/>
      <c r="AT160" s="594"/>
      <c r="AU160" s="594"/>
      <c r="AV160" s="594"/>
      <c r="AW160" s="594"/>
      <c r="AX160" s="594"/>
      <c r="AY160" s="594"/>
      <c r="AZ160" s="594"/>
      <c r="BA160" s="594"/>
      <c r="BB160" s="594"/>
      <c r="BC160" s="594"/>
      <c r="BD160" s="594"/>
      <c r="BE160" s="594"/>
      <c r="BF160" s="594"/>
      <c r="BG160" s="594"/>
      <c r="BH160" s="594"/>
      <c r="BI160" s="594"/>
      <c r="BJ160" s="594"/>
    </row>
    <row r="161" spans="1:63" x14ac:dyDescent="0.25">
      <c r="AF161" s="594"/>
      <c r="AH161" s="594"/>
      <c r="AI161" s="594"/>
      <c r="AJ161" s="594"/>
      <c r="AK161" s="594"/>
      <c r="AL161" s="594"/>
      <c r="AM161" s="594"/>
      <c r="AN161" s="594"/>
      <c r="AO161" s="594"/>
      <c r="AP161" s="594"/>
      <c r="AQ161" s="594"/>
      <c r="AR161" s="594"/>
      <c r="AS161" s="594"/>
      <c r="AT161" s="594"/>
      <c r="AU161" s="594"/>
      <c r="AV161" s="594"/>
      <c r="AW161" s="594"/>
      <c r="AX161" s="594"/>
      <c r="AY161" s="594"/>
      <c r="AZ161" s="594"/>
      <c r="BA161" s="594"/>
      <c r="BB161" s="594"/>
      <c r="BC161" s="594"/>
      <c r="BD161" s="594"/>
      <c r="BE161" s="594"/>
      <c r="BF161" s="594"/>
      <c r="BG161" s="594"/>
      <c r="BH161" s="594"/>
      <c r="BI161" s="594"/>
      <c r="BJ161" s="594"/>
    </row>
    <row r="162" spans="1:63" x14ac:dyDescent="0.25">
      <c r="T162" s="594"/>
      <c r="U162" s="594"/>
      <c r="V162" s="594"/>
      <c r="W162" s="594"/>
      <c r="X162" s="594"/>
      <c r="Y162" s="594"/>
      <c r="Z162" s="594"/>
      <c r="AA162" s="594"/>
      <c r="AB162" s="594"/>
      <c r="AC162" s="594"/>
      <c r="AF162" s="594"/>
      <c r="AH162" s="594"/>
      <c r="AI162" s="594"/>
      <c r="AJ162" s="594"/>
      <c r="AK162" s="594"/>
      <c r="AL162" s="594"/>
      <c r="AM162" s="594"/>
      <c r="AN162" s="594"/>
      <c r="AO162" s="594"/>
      <c r="AP162" s="594"/>
      <c r="AQ162" s="594"/>
      <c r="AR162" s="594"/>
      <c r="AS162" s="594"/>
      <c r="AT162" s="594"/>
      <c r="AU162" s="594"/>
      <c r="AV162" s="594"/>
      <c r="AW162" s="594"/>
      <c r="AX162" s="594"/>
      <c r="AY162" s="594"/>
      <c r="AZ162" s="594"/>
      <c r="BA162" s="594"/>
      <c r="BB162" s="594"/>
      <c r="BC162" s="594"/>
      <c r="BD162" s="594"/>
      <c r="BE162" s="594"/>
      <c r="BF162" s="594"/>
      <c r="BG162" s="594"/>
      <c r="BH162" s="594"/>
      <c r="BI162" s="594"/>
      <c r="BJ162" s="594"/>
    </row>
    <row r="163" spans="1:63" x14ac:dyDescent="0.25">
      <c r="AF163" s="594"/>
      <c r="AH163" s="594"/>
      <c r="AI163" s="594"/>
      <c r="AJ163" s="594"/>
      <c r="AK163" s="594"/>
      <c r="AL163" s="594"/>
      <c r="AM163" s="594"/>
      <c r="AN163" s="594"/>
      <c r="AO163" s="594"/>
      <c r="AQ163" s="594"/>
      <c r="AR163" s="594"/>
      <c r="AS163" s="594"/>
      <c r="AT163" s="594"/>
      <c r="AU163" s="594"/>
      <c r="AV163" s="594"/>
      <c r="AW163" s="594"/>
      <c r="AX163" s="594"/>
      <c r="AY163" s="594"/>
      <c r="BA163" s="594"/>
      <c r="BB163" s="594"/>
      <c r="BC163" s="594"/>
      <c r="BD163" s="594"/>
      <c r="BE163" s="594"/>
      <c r="BF163" s="594"/>
      <c r="BG163" s="594"/>
      <c r="BH163" s="594"/>
      <c r="BI163" s="594"/>
      <c r="BJ163" s="594"/>
    </row>
    <row r="164" spans="1:63" x14ac:dyDescent="0.25">
      <c r="A164" s="594"/>
      <c r="B164" s="594"/>
      <c r="C164" s="594"/>
      <c r="D164" s="594"/>
      <c r="E164" s="594"/>
      <c r="F164" s="594"/>
      <c r="G164" s="594"/>
      <c r="H164" s="594"/>
      <c r="I164" s="594"/>
      <c r="J164" s="594"/>
      <c r="K164" s="594"/>
      <c r="L164" s="594"/>
      <c r="M164" s="594"/>
      <c r="N164" s="594"/>
      <c r="O164" s="594"/>
      <c r="P164" s="594"/>
      <c r="Q164" s="594"/>
      <c r="R164" s="594"/>
      <c r="S164" s="594"/>
      <c r="T164" s="594"/>
      <c r="U164" s="594"/>
      <c r="V164" s="594"/>
      <c r="W164" s="594"/>
      <c r="X164" s="594"/>
      <c r="Y164" s="594"/>
      <c r="Z164" s="594"/>
      <c r="AA164" s="594"/>
      <c r="AB164" s="594"/>
      <c r="AC164" s="594"/>
      <c r="AD164" s="594"/>
      <c r="AE164" s="594"/>
      <c r="AF164" s="594"/>
      <c r="AH164" s="594"/>
      <c r="AI164" s="594"/>
      <c r="AJ164" s="594"/>
      <c r="AK164" s="594"/>
      <c r="AL164" s="594"/>
      <c r="AM164" s="594"/>
      <c r="AN164" s="594"/>
      <c r="AO164" s="594"/>
      <c r="AQ164" s="594"/>
      <c r="AR164" s="594"/>
      <c r="AS164" s="594"/>
      <c r="AT164" s="594"/>
      <c r="AU164" s="594"/>
      <c r="AV164" s="594"/>
      <c r="AW164" s="594"/>
      <c r="AX164" s="594"/>
      <c r="AY164" s="594"/>
    </row>
    <row r="165" spans="1:63" x14ac:dyDescent="0.25">
      <c r="AF165" s="594"/>
      <c r="AH165" s="594"/>
      <c r="AI165" s="594"/>
      <c r="AJ165" s="594"/>
      <c r="AK165" s="594"/>
      <c r="AL165" s="594"/>
      <c r="AM165" s="594"/>
      <c r="AN165" s="594"/>
      <c r="AO165" s="594"/>
      <c r="AP165" s="594"/>
      <c r="AQ165" s="594"/>
      <c r="AR165" s="594"/>
      <c r="AS165" s="594"/>
      <c r="AT165" s="594"/>
      <c r="AU165" s="594"/>
      <c r="AV165" s="594"/>
      <c r="AW165" s="594"/>
      <c r="AX165" s="594"/>
      <c r="AY165" s="594"/>
      <c r="AZ165" s="594"/>
      <c r="BA165" s="594"/>
      <c r="BB165" s="594"/>
      <c r="BC165" s="594"/>
      <c r="BD165" s="594"/>
      <c r="BE165" s="594"/>
      <c r="BF165" s="594"/>
      <c r="BG165" s="594"/>
      <c r="BH165" s="594"/>
      <c r="BI165" s="594"/>
      <c r="BJ165" s="594"/>
    </row>
    <row r="166" spans="1:63" x14ac:dyDescent="0.25">
      <c r="AF166" s="594"/>
      <c r="AH166" s="594"/>
      <c r="AI166" s="594"/>
      <c r="AJ166" s="594"/>
      <c r="AK166" s="594"/>
      <c r="AL166" s="594"/>
      <c r="AM166" s="594"/>
      <c r="AN166" s="594"/>
      <c r="AO166" s="594"/>
      <c r="AP166" s="594"/>
      <c r="AQ166" s="594"/>
      <c r="AR166" s="594"/>
      <c r="AS166" s="594"/>
      <c r="AT166" s="594"/>
      <c r="AU166" s="594"/>
      <c r="AV166" s="594"/>
      <c r="AW166" s="594"/>
      <c r="AX166" s="594"/>
      <c r="AY166" s="594"/>
      <c r="AZ166" s="594"/>
      <c r="BA166" s="594"/>
      <c r="BB166" s="594"/>
      <c r="BC166" s="594"/>
      <c r="BD166" s="594"/>
      <c r="BE166" s="594"/>
      <c r="BF166" s="594"/>
      <c r="BG166" s="594"/>
      <c r="BH166" s="594"/>
      <c r="BI166" s="594"/>
      <c r="BJ166" s="594"/>
    </row>
    <row r="167" spans="1:63" x14ac:dyDescent="0.25">
      <c r="AF167" s="594"/>
      <c r="AH167" s="594"/>
      <c r="AI167" s="594"/>
      <c r="AJ167" s="594"/>
      <c r="AK167" s="594"/>
      <c r="AL167" s="594"/>
      <c r="AM167" s="594"/>
      <c r="AN167" s="594"/>
      <c r="AO167" s="594"/>
      <c r="AP167" s="594"/>
      <c r="AQ167" s="594"/>
      <c r="AR167" s="594"/>
      <c r="AS167" s="594"/>
      <c r="AT167" s="594"/>
      <c r="AU167" s="594"/>
      <c r="AV167" s="594"/>
      <c r="AW167" s="594"/>
      <c r="AX167" s="594"/>
      <c r="AY167" s="594"/>
      <c r="AZ167" s="594"/>
      <c r="BA167" s="594"/>
      <c r="BB167" s="594"/>
      <c r="BC167" s="594"/>
      <c r="BD167" s="594"/>
      <c r="BE167" s="594"/>
      <c r="BF167" s="594"/>
      <c r="BG167" s="594"/>
      <c r="BH167" s="594"/>
      <c r="BI167" s="594"/>
      <c r="BJ167" s="594"/>
    </row>
    <row r="168" spans="1:63" x14ac:dyDescent="0.25">
      <c r="AF168" s="594"/>
      <c r="AH168" s="594"/>
      <c r="AI168" s="594"/>
      <c r="AJ168" s="594"/>
      <c r="AK168" s="594"/>
      <c r="AL168" s="594"/>
      <c r="AM168" s="594"/>
      <c r="AN168" s="594"/>
      <c r="AO168" s="594"/>
      <c r="AP168" s="594"/>
      <c r="AQ168" s="594"/>
      <c r="AR168" s="594"/>
      <c r="AS168" s="594"/>
      <c r="AT168" s="594"/>
      <c r="AU168" s="594"/>
      <c r="AV168" s="594"/>
      <c r="AW168" s="594"/>
      <c r="AX168" s="594"/>
      <c r="AY168" s="594"/>
      <c r="AZ168" s="594"/>
      <c r="BA168" s="594"/>
      <c r="BB168" s="594"/>
      <c r="BC168" s="594"/>
      <c r="BD168" s="594"/>
      <c r="BE168" s="594"/>
      <c r="BF168" s="594"/>
      <c r="BG168" s="594"/>
      <c r="BH168" s="594"/>
      <c r="BI168" s="594"/>
      <c r="BJ168" s="594"/>
    </row>
    <row r="169" spans="1:63" x14ac:dyDescent="0.25">
      <c r="AF169" s="594"/>
      <c r="AH169" s="594"/>
      <c r="AI169" s="594"/>
      <c r="AJ169" s="594"/>
      <c r="AK169" s="594"/>
      <c r="AL169" s="594"/>
      <c r="AM169" s="594"/>
      <c r="AN169" s="594"/>
      <c r="AO169" s="594"/>
      <c r="AQ169" s="594"/>
      <c r="AR169" s="594"/>
      <c r="AS169" s="594"/>
      <c r="AT169" s="594"/>
      <c r="AU169" s="594"/>
      <c r="AV169" s="594"/>
      <c r="AW169" s="594"/>
      <c r="AX169" s="594"/>
      <c r="AY169" s="594"/>
      <c r="BA169" s="594"/>
      <c r="BB169" s="594"/>
      <c r="BC169" s="594"/>
      <c r="BD169" s="594"/>
      <c r="BE169" s="594"/>
      <c r="BF169" s="594"/>
      <c r="BG169" s="594"/>
      <c r="BH169" s="594"/>
      <c r="BI169" s="594"/>
      <c r="BJ169" s="594"/>
    </row>
    <row r="170" spans="1:63" x14ac:dyDescent="0.25">
      <c r="B170" s="594"/>
      <c r="C170" s="594"/>
      <c r="D170" s="594"/>
      <c r="E170" s="594"/>
      <c r="F170" s="594"/>
      <c r="G170" s="594"/>
      <c r="H170" s="594"/>
      <c r="I170" s="594"/>
      <c r="J170" s="594"/>
      <c r="K170" s="594"/>
      <c r="L170" s="594"/>
      <c r="M170" s="594"/>
      <c r="N170" s="594"/>
      <c r="O170" s="594"/>
      <c r="P170" s="594"/>
      <c r="Q170" s="594"/>
      <c r="R170" s="594"/>
      <c r="U170" s="594"/>
      <c r="V170" s="594"/>
      <c r="W170" s="594"/>
      <c r="X170" s="594"/>
      <c r="Y170" s="594"/>
      <c r="Z170" s="594"/>
      <c r="AA170" s="594"/>
      <c r="AB170" s="594"/>
      <c r="AC170" s="594"/>
      <c r="AD170" s="594"/>
      <c r="AF170" s="594"/>
      <c r="AH170" s="594"/>
      <c r="AI170" s="594"/>
      <c r="AJ170" s="594"/>
      <c r="AK170" s="594"/>
      <c r="AL170" s="594"/>
      <c r="AM170" s="594"/>
      <c r="AN170" s="594"/>
      <c r="AO170" s="594"/>
      <c r="AQ170" s="594"/>
      <c r="AR170" s="594"/>
      <c r="AS170" s="594"/>
      <c r="AT170" s="594"/>
      <c r="AU170" s="594"/>
      <c r="AV170" s="594"/>
      <c r="AW170" s="594"/>
      <c r="AX170" s="594"/>
      <c r="AY170" s="594"/>
    </row>
    <row r="171" spans="1:63" x14ac:dyDescent="0.25">
      <c r="B171" s="594"/>
      <c r="C171" s="594"/>
      <c r="D171" s="594"/>
      <c r="E171" s="594"/>
      <c r="F171" s="594"/>
      <c r="G171" s="594"/>
      <c r="H171" s="594"/>
      <c r="I171" s="594"/>
      <c r="J171" s="594"/>
      <c r="K171" s="594"/>
      <c r="L171" s="594"/>
      <c r="M171" s="594"/>
      <c r="N171" s="594"/>
      <c r="O171" s="594"/>
      <c r="P171" s="594"/>
      <c r="Q171" s="594"/>
      <c r="R171" s="594"/>
      <c r="U171" s="594"/>
      <c r="V171" s="594"/>
      <c r="W171" s="594"/>
      <c r="X171" s="594"/>
      <c r="Y171" s="594"/>
      <c r="Z171" s="594"/>
      <c r="AA171" s="594"/>
      <c r="AB171" s="594"/>
      <c r="AC171" s="594"/>
      <c r="AD171" s="594"/>
      <c r="AF171" s="594"/>
      <c r="AH171" s="594"/>
      <c r="AI171" s="594"/>
      <c r="AJ171" s="594"/>
      <c r="AK171" s="594"/>
      <c r="AL171" s="594"/>
      <c r="AM171" s="594"/>
      <c r="AN171" s="594"/>
      <c r="AO171" s="594"/>
      <c r="AP171" s="594"/>
      <c r="AQ171" s="594"/>
      <c r="AR171" s="594"/>
      <c r="AS171" s="594"/>
      <c r="AT171" s="594"/>
      <c r="AU171" s="594"/>
      <c r="AV171" s="594"/>
      <c r="AW171" s="594"/>
      <c r="AX171" s="594"/>
      <c r="AY171" s="594"/>
      <c r="AZ171" s="594"/>
      <c r="BA171" s="594"/>
      <c r="BB171" s="594"/>
      <c r="BC171" s="594"/>
      <c r="BD171" s="594"/>
      <c r="BE171" s="594"/>
      <c r="BF171" s="594"/>
      <c r="BG171" s="594"/>
      <c r="BH171" s="594"/>
      <c r="BI171" s="594"/>
      <c r="BJ171" s="594"/>
    </row>
    <row r="172" spans="1:63" x14ac:dyDescent="0.25">
      <c r="B172" s="594"/>
      <c r="C172" s="594"/>
      <c r="D172" s="594"/>
      <c r="E172" s="594"/>
      <c r="F172" s="594"/>
      <c r="G172" s="594"/>
      <c r="H172" s="594"/>
      <c r="I172" s="594"/>
      <c r="J172" s="594"/>
      <c r="K172" s="594"/>
      <c r="L172" s="594"/>
      <c r="M172" s="594"/>
      <c r="N172" s="594"/>
      <c r="O172" s="594"/>
      <c r="P172" s="594"/>
      <c r="Q172" s="594"/>
      <c r="R172" s="594"/>
      <c r="U172" s="594"/>
      <c r="V172" s="594"/>
      <c r="W172" s="594"/>
      <c r="X172" s="594"/>
      <c r="Y172" s="594"/>
      <c r="Z172" s="594"/>
      <c r="AA172" s="594"/>
      <c r="AB172" s="594"/>
      <c r="AC172" s="594"/>
      <c r="AD172" s="594"/>
      <c r="AF172" s="594"/>
      <c r="AG172" s="594"/>
      <c r="AH172" s="594"/>
      <c r="AI172" s="594"/>
      <c r="AJ172" s="594"/>
      <c r="AK172" s="594"/>
      <c r="AL172" s="594"/>
      <c r="AM172" s="594"/>
      <c r="AN172" s="594"/>
      <c r="AO172" s="594"/>
      <c r="AP172" s="594"/>
      <c r="AQ172" s="594"/>
      <c r="AR172" s="594"/>
      <c r="AS172" s="594"/>
      <c r="AT172" s="594"/>
      <c r="AU172" s="594"/>
      <c r="AV172" s="594"/>
      <c r="AW172" s="594"/>
      <c r="AX172" s="594"/>
      <c r="AY172" s="594"/>
      <c r="AZ172" s="594"/>
      <c r="BA172" s="594"/>
      <c r="BB172" s="594"/>
      <c r="BC172" s="594"/>
      <c r="BD172" s="594"/>
      <c r="BE172" s="594"/>
      <c r="BF172" s="594"/>
      <c r="BG172" s="594"/>
      <c r="BH172" s="594"/>
      <c r="BI172" s="594"/>
      <c r="BJ172" s="594"/>
      <c r="BK172" s="594"/>
    </row>
    <row r="173" spans="1:63" x14ac:dyDescent="0.25">
      <c r="B173" s="594"/>
      <c r="C173" s="594"/>
      <c r="D173" s="594"/>
      <c r="E173" s="594"/>
      <c r="F173" s="594"/>
      <c r="G173" s="594"/>
      <c r="H173" s="594"/>
      <c r="I173" s="594"/>
      <c r="J173" s="594"/>
      <c r="K173" s="594"/>
      <c r="L173" s="594"/>
      <c r="M173" s="594"/>
      <c r="N173" s="594"/>
      <c r="O173" s="594"/>
      <c r="P173" s="594"/>
      <c r="Q173" s="594"/>
      <c r="R173" s="594"/>
      <c r="U173" s="594"/>
      <c r="V173" s="594"/>
      <c r="W173" s="594"/>
      <c r="X173" s="594"/>
      <c r="Y173" s="594"/>
      <c r="Z173" s="594"/>
      <c r="AA173" s="594"/>
      <c r="AB173" s="594"/>
      <c r="AC173" s="594"/>
      <c r="AD173" s="594"/>
      <c r="AH173" s="594"/>
      <c r="AI173" s="594"/>
      <c r="AJ173" s="594"/>
      <c r="AK173" s="594"/>
      <c r="AL173" s="594"/>
      <c r="AM173" s="594"/>
      <c r="AN173" s="594"/>
      <c r="AO173" s="594"/>
      <c r="AP173" s="594"/>
      <c r="AQ173" s="594"/>
      <c r="AR173" s="594"/>
      <c r="AS173" s="594"/>
      <c r="AT173" s="594"/>
      <c r="AU173" s="594"/>
      <c r="AV173" s="594"/>
      <c r="AW173" s="594"/>
      <c r="AX173" s="594"/>
      <c r="AY173" s="594"/>
      <c r="AZ173" s="594"/>
      <c r="BA173" s="594"/>
      <c r="BB173" s="594"/>
      <c r="BC173" s="594"/>
      <c r="BD173" s="594"/>
      <c r="BE173" s="594"/>
      <c r="BF173" s="594"/>
      <c r="BG173" s="594"/>
      <c r="BH173" s="594"/>
      <c r="BI173" s="594"/>
      <c r="BJ173" s="594"/>
      <c r="BK173" s="594"/>
    </row>
    <row r="174" spans="1:63" x14ac:dyDescent="0.25">
      <c r="B174" s="594"/>
      <c r="C174" s="594"/>
      <c r="D174" s="594"/>
      <c r="E174" s="594"/>
      <c r="F174" s="594"/>
      <c r="G174" s="594"/>
      <c r="H174" s="594"/>
      <c r="I174" s="594"/>
      <c r="J174" s="594"/>
      <c r="K174" s="594"/>
      <c r="L174" s="594"/>
      <c r="M174" s="594"/>
      <c r="N174" s="594"/>
      <c r="O174" s="594"/>
      <c r="P174" s="594"/>
      <c r="Q174" s="594"/>
      <c r="R174" s="594"/>
      <c r="U174" s="594"/>
      <c r="V174" s="594"/>
      <c r="W174" s="594"/>
      <c r="X174" s="594"/>
      <c r="Y174" s="594"/>
      <c r="Z174" s="594"/>
      <c r="AA174" s="594"/>
      <c r="AB174" s="594"/>
      <c r="AC174" s="594"/>
      <c r="AD174" s="594"/>
      <c r="AH174" s="594"/>
      <c r="AI174" s="594"/>
      <c r="AJ174" s="594"/>
      <c r="AK174" s="594"/>
      <c r="AL174" s="594"/>
      <c r="AM174" s="594"/>
      <c r="AN174" s="594"/>
      <c r="AO174" s="594"/>
      <c r="AP174" s="594"/>
      <c r="AQ174" s="594"/>
      <c r="AR174" s="594"/>
      <c r="AS174" s="594"/>
      <c r="AT174" s="594"/>
      <c r="AU174" s="594"/>
      <c r="AV174" s="594"/>
      <c r="AW174" s="594"/>
      <c r="AX174" s="594"/>
      <c r="AY174" s="594"/>
      <c r="AZ174" s="594"/>
      <c r="BA174" s="594"/>
      <c r="BB174" s="594"/>
      <c r="BC174" s="594"/>
      <c r="BD174" s="594"/>
      <c r="BE174" s="594"/>
      <c r="BF174" s="594"/>
      <c r="BG174" s="594"/>
      <c r="BH174" s="594"/>
      <c r="BI174" s="594"/>
      <c r="BJ174" s="594"/>
      <c r="BK174" s="594"/>
    </row>
    <row r="175" spans="1:63" x14ac:dyDescent="0.25">
      <c r="B175" s="594"/>
      <c r="C175" s="594"/>
      <c r="D175" s="594"/>
      <c r="E175" s="594"/>
      <c r="F175" s="594"/>
      <c r="G175" s="594"/>
      <c r="H175" s="594"/>
      <c r="I175" s="594"/>
      <c r="J175" s="594"/>
      <c r="K175" s="594"/>
      <c r="L175" s="594"/>
      <c r="M175" s="594"/>
      <c r="N175" s="594"/>
      <c r="O175" s="594"/>
      <c r="P175" s="594"/>
      <c r="Q175" s="594"/>
      <c r="R175" s="594"/>
      <c r="U175" s="594"/>
      <c r="V175" s="594"/>
      <c r="W175" s="594"/>
      <c r="X175" s="594"/>
      <c r="Y175" s="594"/>
      <c r="Z175" s="594"/>
      <c r="AA175" s="594"/>
      <c r="AB175" s="594"/>
      <c r="AC175" s="594"/>
      <c r="AD175" s="594"/>
      <c r="AH175" s="594"/>
      <c r="AI175" s="594"/>
      <c r="AJ175" s="594"/>
      <c r="AK175" s="594"/>
      <c r="AL175" s="594"/>
      <c r="AM175" s="594"/>
      <c r="AN175" s="594"/>
      <c r="AO175" s="594"/>
      <c r="AP175" s="594"/>
      <c r="AQ175" s="594"/>
      <c r="AR175" s="594"/>
      <c r="AS175" s="594"/>
      <c r="AT175" s="594"/>
      <c r="AU175" s="594"/>
      <c r="AV175" s="594"/>
      <c r="AW175" s="594"/>
      <c r="AX175" s="594"/>
      <c r="AY175" s="594"/>
      <c r="AZ175" s="594"/>
      <c r="BA175" s="594"/>
      <c r="BB175" s="594"/>
      <c r="BC175" s="594"/>
      <c r="BD175" s="594"/>
      <c r="BE175" s="594"/>
      <c r="BF175" s="594"/>
      <c r="BG175" s="594"/>
      <c r="BH175" s="594"/>
      <c r="BI175" s="594"/>
      <c r="BJ175" s="594"/>
    </row>
    <row r="176" spans="1:63" x14ac:dyDescent="0.25">
      <c r="B176" s="594"/>
      <c r="C176" s="594"/>
      <c r="D176" s="594"/>
      <c r="E176" s="594"/>
      <c r="F176" s="594"/>
      <c r="G176" s="594"/>
      <c r="H176" s="594"/>
      <c r="I176" s="594"/>
      <c r="J176" s="594"/>
      <c r="K176" s="594"/>
      <c r="L176" s="594"/>
      <c r="M176" s="594"/>
      <c r="N176" s="594"/>
      <c r="O176" s="594"/>
      <c r="P176" s="594"/>
      <c r="Q176" s="594"/>
      <c r="R176" s="594"/>
      <c r="T176" s="594"/>
      <c r="U176" s="594"/>
      <c r="V176" s="594"/>
      <c r="W176" s="594"/>
      <c r="X176" s="594"/>
      <c r="Y176" s="594"/>
      <c r="Z176" s="594"/>
      <c r="AA176" s="594"/>
      <c r="AB176" s="594"/>
      <c r="AC176" s="594"/>
      <c r="AD176" s="594"/>
      <c r="AH176" s="594"/>
      <c r="AI176" s="594"/>
      <c r="AJ176" s="594"/>
      <c r="AK176" s="594"/>
      <c r="AL176" s="594"/>
      <c r="AM176" s="594"/>
      <c r="AN176" s="594"/>
      <c r="AO176" s="594"/>
      <c r="AP176" s="594"/>
      <c r="AQ176" s="594"/>
      <c r="AR176" s="594"/>
      <c r="AS176" s="594"/>
      <c r="AT176" s="594"/>
      <c r="AU176" s="594"/>
      <c r="AV176" s="594"/>
      <c r="AW176" s="594"/>
      <c r="AX176" s="594"/>
      <c r="AY176" s="594"/>
      <c r="AZ176" s="594"/>
      <c r="BA176" s="594"/>
      <c r="BB176" s="594"/>
      <c r="BC176" s="594"/>
      <c r="BD176" s="594"/>
      <c r="BE176" s="594"/>
      <c r="BF176" s="594"/>
      <c r="BG176" s="594"/>
      <c r="BH176" s="594"/>
      <c r="BI176" s="594"/>
      <c r="BJ176" s="594"/>
    </row>
    <row r="177" spans="2:62" x14ac:dyDescent="0.25">
      <c r="B177" s="594"/>
      <c r="C177" s="594"/>
      <c r="D177" s="594"/>
      <c r="E177" s="594"/>
      <c r="F177" s="594"/>
      <c r="G177" s="594"/>
      <c r="H177" s="594"/>
      <c r="I177" s="594"/>
      <c r="J177" s="594"/>
      <c r="K177" s="594"/>
      <c r="L177" s="594"/>
      <c r="M177" s="594"/>
      <c r="N177" s="594"/>
      <c r="O177" s="594"/>
      <c r="P177" s="594"/>
      <c r="Q177" s="594"/>
      <c r="R177" s="594"/>
      <c r="U177" s="594"/>
      <c r="V177" s="594"/>
      <c r="W177" s="594"/>
      <c r="X177" s="594"/>
      <c r="Y177" s="594"/>
      <c r="Z177" s="594"/>
      <c r="AA177" s="594"/>
      <c r="AB177" s="594"/>
      <c r="AC177" s="594"/>
      <c r="AD177" s="594"/>
      <c r="AH177" s="594"/>
      <c r="AI177" s="594"/>
      <c r="AJ177" s="594"/>
      <c r="AK177" s="594"/>
      <c r="AL177" s="594"/>
      <c r="AM177" s="594"/>
      <c r="AN177" s="594"/>
      <c r="AO177" s="594"/>
      <c r="AP177" s="594"/>
      <c r="AQ177" s="594"/>
      <c r="AR177" s="594"/>
      <c r="AS177" s="594"/>
      <c r="AT177" s="594"/>
      <c r="AU177" s="594"/>
      <c r="AV177" s="594"/>
      <c r="AW177" s="594"/>
      <c r="AX177" s="594"/>
      <c r="AY177" s="594"/>
      <c r="AZ177" s="594"/>
      <c r="BA177" s="594"/>
      <c r="BB177" s="594"/>
      <c r="BC177" s="594"/>
      <c r="BD177" s="594"/>
      <c r="BE177" s="594"/>
      <c r="BF177" s="594"/>
      <c r="BG177" s="594"/>
      <c r="BH177" s="594"/>
      <c r="BI177" s="594"/>
    </row>
    <row r="178" spans="2:62" x14ac:dyDescent="0.25">
      <c r="B178" s="594"/>
      <c r="C178" s="594"/>
      <c r="D178" s="594"/>
      <c r="E178" s="594"/>
      <c r="F178" s="594"/>
      <c r="G178" s="594"/>
      <c r="H178" s="594"/>
      <c r="I178" s="594"/>
      <c r="J178" s="594"/>
      <c r="K178" s="594"/>
      <c r="L178" s="594"/>
      <c r="M178" s="594"/>
      <c r="N178" s="594"/>
      <c r="O178" s="594"/>
      <c r="P178" s="594"/>
      <c r="Q178" s="594"/>
      <c r="R178" s="594"/>
      <c r="U178" s="594"/>
      <c r="V178" s="594"/>
      <c r="W178" s="594"/>
      <c r="X178" s="594"/>
      <c r="Y178" s="594"/>
      <c r="Z178" s="594"/>
      <c r="AA178" s="594"/>
      <c r="AB178" s="594"/>
      <c r="AC178" s="594"/>
      <c r="AD178" s="594"/>
      <c r="AH178" s="594"/>
      <c r="AI178" s="594"/>
      <c r="AJ178" s="594"/>
      <c r="AK178" s="594"/>
      <c r="AL178" s="594"/>
      <c r="AM178" s="594"/>
      <c r="AN178" s="594"/>
      <c r="AO178" s="594"/>
      <c r="AP178" s="594"/>
      <c r="AQ178" s="594"/>
      <c r="AR178" s="594"/>
      <c r="AS178" s="594"/>
      <c r="AT178" s="594"/>
      <c r="AU178" s="594"/>
      <c r="AV178" s="594"/>
      <c r="AW178" s="594"/>
      <c r="AX178" s="594"/>
      <c r="AY178" s="594"/>
      <c r="AZ178" s="594"/>
      <c r="BA178" s="594"/>
      <c r="BB178" s="594"/>
      <c r="BC178" s="594"/>
      <c r="BD178" s="594"/>
      <c r="BE178" s="594"/>
      <c r="BF178" s="594"/>
      <c r="BG178" s="594"/>
      <c r="BH178" s="594"/>
      <c r="BI178" s="594"/>
    </row>
    <row r="179" spans="2:62" x14ac:dyDescent="0.25">
      <c r="B179" s="594"/>
      <c r="C179" s="594"/>
      <c r="D179" s="594"/>
      <c r="E179" s="594"/>
      <c r="F179" s="594"/>
      <c r="G179" s="594"/>
      <c r="H179" s="594"/>
      <c r="I179" s="594"/>
      <c r="J179" s="594"/>
      <c r="K179" s="594"/>
      <c r="L179" s="594"/>
      <c r="M179" s="594"/>
      <c r="N179" s="594"/>
      <c r="O179" s="594"/>
      <c r="P179" s="594"/>
      <c r="Q179" s="594"/>
      <c r="R179" s="594"/>
      <c r="U179" s="594"/>
      <c r="V179" s="594"/>
      <c r="W179" s="594"/>
      <c r="X179" s="594"/>
      <c r="Y179" s="594"/>
      <c r="Z179" s="594"/>
      <c r="AA179" s="594"/>
      <c r="AB179" s="594"/>
      <c r="AC179" s="594"/>
      <c r="AD179" s="594"/>
      <c r="AH179" s="594"/>
      <c r="AI179" s="594"/>
      <c r="AJ179" s="594"/>
      <c r="AK179" s="594"/>
      <c r="AL179" s="594"/>
      <c r="AM179" s="594"/>
      <c r="AN179" s="594"/>
      <c r="AO179" s="594"/>
      <c r="AP179" s="594"/>
      <c r="AQ179" s="594"/>
      <c r="AR179" s="594"/>
      <c r="AS179" s="594"/>
      <c r="AT179" s="594"/>
      <c r="AU179" s="594"/>
      <c r="AV179" s="594"/>
      <c r="AW179" s="594"/>
      <c r="AX179" s="594"/>
      <c r="AY179" s="594"/>
      <c r="AZ179" s="594"/>
      <c r="BA179" s="594"/>
      <c r="BB179" s="594"/>
      <c r="BC179" s="594"/>
      <c r="BD179" s="594"/>
      <c r="BE179" s="594"/>
      <c r="BF179" s="594"/>
      <c r="BG179" s="594"/>
      <c r="BH179" s="594"/>
      <c r="BI179" s="594"/>
      <c r="BJ179" s="594"/>
    </row>
    <row r="180" spans="2:62" x14ac:dyDescent="0.25">
      <c r="B180" s="594"/>
      <c r="C180" s="594"/>
      <c r="D180" s="594"/>
      <c r="E180" s="594"/>
      <c r="F180" s="594"/>
      <c r="G180" s="594"/>
      <c r="H180" s="594"/>
      <c r="I180" s="594"/>
      <c r="J180" s="594"/>
      <c r="K180" s="594"/>
      <c r="L180" s="594"/>
      <c r="M180" s="594"/>
      <c r="N180" s="594"/>
      <c r="O180" s="594"/>
      <c r="P180" s="594"/>
      <c r="Q180" s="594"/>
      <c r="R180" s="594"/>
      <c r="U180" s="594"/>
      <c r="V180" s="594"/>
      <c r="W180" s="594"/>
      <c r="X180" s="594"/>
      <c r="Y180" s="594"/>
      <c r="Z180" s="594"/>
      <c r="AA180" s="594"/>
      <c r="AB180" s="594"/>
      <c r="AC180" s="594"/>
      <c r="AD180" s="594"/>
      <c r="AH180" s="594"/>
      <c r="AI180" s="594"/>
      <c r="AJ180" s="594"/>
      <c r="AK180" s="594"/>
      <c r="AL180" s="594"/>
      <c r="AM180" s="594"/>
      <c r="AN180" s="594"/>
      <c r="AO180" s="594"/>
      <c r="AP180" s="594"/>
      <c r="AQ180" s="594"/>
      <c r="AR180" s="594"/>
      <c r="AS180" s="594"/>
      <c r="AT180" s="594"/>
      <c r="AU180" s="594"/>
      <c r="AV180" s="594"/>
      <c r="AW180" s="594"/>
      <c r="AX180" s="594"/>
      <c r="AY180" s="594"/>
      <c r="AZ180" s="594"/>
      <c r="BA180" s="594"/>
      <c r="BB180" s="594"/>
      <c r="BC180" s="594"/>
      <c r="BD180" s="594"/>
      <c r="BE180" s="594"/>
      <c r="BF180" s="594"/>
      <c r="BG180" s="594"/>
      <c r="BH180" s="594"/>
      <c r="BI180" s="594"/>
    </row>
    <row r="181" spans="2:62" x14ac:dyDescent="0.25">
      <c r="AH181" s="594"/>
      <c r="AI181" s="594"/>
      <c r="AJ181" s="594"/>
      <c r="AK181" s="594"/>
      <c r="AL181" s="594"/>
      <c r="AM181" s="594"/>
      <c r="AN181" s="594"/>
      <c r="AO181" s="594"/>
      <c r="AP181" s="594"/>
      <c r="AQ181" s="594"/>
      <c r="AR181" s="594"/>
      <c r="AS181" s="594"/>
      <c r="AT181" s="594"/>
      <c r="AU181" s="594"/>
      <c r="AV181" s="594"/>
      <c r="AW181" s="594"/>
      <c r="AX181" s="594"/>
      <c r="AY181" s="594"/>
      <c r="AZ181" s="594"/>
      <c r="BA181" s="594"/>
      <c r="BB181" s="594"/>
      <c r="BC181" s="594"/>
      <c r="BD181" s="594"/>
      <c r="BE181" s="594"/>
      <c r="BF181" s="594"/>
      <c r="BG181" s="594"/>
      <c r="BH181" s="594"/>
      <c r="BI181" s="594"/>
    </row>
    <row r="182" spans="2:62" x14ac:dyDescent="0.25">
      <c r="AH182" s="594"/>
      <c r="AI182" s="594"/>
      <c r="AJ182" s="594"/>
      <c r="AK182" s="594"/>
      <c r="AL182" s="594"/>
      <c r="AM182" s="594"/>
      <c r="AN182" s="594"/>
      <c r="AO182" s="594"/>
      <c r="AP182" s="594"/>
      <c r="AQ182" s="594"/>
      <c r="AR182" s="594"/>
      <c r="AS182" s="594"/>
      <c r="AT182" s="594"/>
      <c r="AU182" s="594"/>
      <c r="AV182" s="594"/>
      <c r="AW182" s="594"/>
      <c r="AX182" s="594"/>
      <c r="AY182" s="594"/>
      <c r="AZ182" s="594"/>
      <c r="BA182" s="594"/>
      <c r="BB182" s="594"/>
      <c r="BC182" s="594"/>
      <c r="BD182" s="594"/>
      <c r="BE182" s="594"/>
      <c r="BF182" s="594"/>
      <c r="BG182" s="594"/>
      <c r="BH182" s="594"/>
      <c r="BI182" s="594"/>
    </row>
    <row r="183" spans="2:62" x14ac:dyDescent="0.25">
      <c r="AH183" s="594"/>
      <c r="AI183" s="594"/>
      <c r="AJ183" s="594"/>
      <c r="AK183" s="594"/>
      <c r="AL183" s="594"/>
      <c r="AM183" s="594"/>
      <c r="AN183" s="594"/>
      <c r="AO183" s="594"/>
      <c r="AP183" s="594"/>
      <c r="AQ183" s="594"/>
      <c r="AR183" s="594"/>
      <c r="AS183" s="594"/>
      <c r="AT183" s="594"/>
      <c r="AU183" s="594"/>
      <c r="AV183" s="594"/>
      <c r="AW183" s="594"/>
      <c r="AX183" s="594"/>
      <c r="AY183" s="594"/>
      <c r="AZ183" s="594"/>
      <c r="BA183" s="594"/>
      <c r="BB183" s="594"/>
      <c r="BC183" s="594"/>
      <c r="BD183" s="594"/>
      <c r="BE183" s="594"/>
      <c r="BF183" s="594"/>
      <c r="BG183" s="594"/>
      <c r="BH183" s="594"/>
      <c r="BI183" s="594"/>
    </row>
    <row r="184" spans="2:62" x14ac:dyDescent="0.25">
      <c r="AH184" s="594"/>
      <c r="AI184" s="594"/>
      <c r="AJ184" s="594"/>
      <c r="AK184" s="594"/>
      <c r="AL184" s="594"/>
      <c r="AM184" s="594"/>
      <c r="AN184" s="594"/>
      <c r="AO184" s="594"/>
      <c r="AP184" s="594"/>
      <c r="AQ184" s="594"/>
      <c r="AR184" s="594"/>
      <c r="AS184" s="594"/>
      <c r="AT184" s="594"/>
      <c r="AU184" s="594"/>
      <c r="AV184" s="594"/>
      <c r="AW184" s="594"/>
      <c r="AX184" s="594"/>
      <c r="AY184" s="594"/>
      <c r="AZ184" s="594"/>
      <c r="BA184" s="594"/>
      <c r="BB184" s="594"/>
      <c r="BC184" s="594"/>
      <c r="BD184" s="594"/>
      <c r="BE184" s="594"/>
      <c r="BF184" s="594"/>
      <c r="BG184" s="594"/>
      <c r="BH184" s="594"/>
      <c r="BI184" s="594"/>
    </row>
  </sheetData>
  <sheetProtection sheet="1" selectLockedCells="1"/>
  <mergeCells count="304">
    <mergeCell ref="AH182:AZ182"/>
    <mergeCell ref="BA182:BI182"/>
    <mergeCell ref="AH183:AZ183"/>
    <mergeCell ref="BA183:BI183"/>
    <mergeCell ref="AH184:AZ184"/>
    <mergeCell ref="BA184:BI184"/>
    <mergeCell ref="B179:R179"/>
    <mergeCell ref="U179:AD179"/>
    <mergeCell ref="AH179:BJ179"/>
    <mergeCell ref="B180:R180"/>
    <mergeCell ref="U180:AD180"/>
    <mergeCell ref="AH180:AZ180"/>
    <mergeCell ref="BA180:BI180"/>
    <mergeCell ref="AH181:AZ181"/>
    <mergeCell ref="BA181:BI181"/>
    <mergeCell ref="B176:R176"/>
    <mergeCell ref="T176:U176"/>
    <mergeCell ref="V176:AD176"/>
    <mergeCell ref="AH176:BJ176"/>
    <mergeCell ref="B177:R177"/>
    <mergeCell ref="U177:AD177"/>
    <mergeCell ref="AH177:BI177"/>
    <mergeCell ref="B178:R178"/>
    <mergeCell ref="U178:AD178"/>
    <mergeCell ref="AH178:BI178"/>
    <mergeCell ref="B173:R173"/>
    <mergeCell ref="U173:AD173"/>
    <mergeCell ref="AH173:BK173"/>
    <mergeCell ref="B174:R174"/>
    <mergeCell ref="U174:AD174"/>
    <mergeCell ref="AH174:BK174"/>
    <mergeCell ref="B175:R175"/>
    <mergeCell ref="U175:AD175"/>
    <mergeCell ref="AH175:BJ175"/>
    <mergeCell ref="B170:R170"/>
    <mergeCell ref="U170:AD170"/>
    <mergeCell ref="AH170:AO170"/>
    <mergeCell ref="AQ170:AY170"/>
    <mergeCell ref="B171:R171"/>
    <mergeCell ref="U171:AD171"/>
    <mergeCell ref="AH171:BJ171"/>
    <mergeCell ref="B172:R172"/>
    <mergeCell ref="U172:AD172"/>
    <mergeCell ref="AG172:BK172"/>
    <mergeCell ref="A164:AE164"/>
    <mergeCell ref="AH164:AO164"/>
    <mergeCell ref="AQ164:AY164"/>
    <mergeCell ref="AH165:BJ165"/>
    <mergeCell ref="AH166:BJ166"/>
    <mergeCell ref="AH167:BJ167"/>
    <mergeCell ref="AH168:BJ168"/>
    <mergeCell ref="AH169:AO169"/>
    <mergeCell ref="AQ169:AY169"/>
    <mergeCell ref="BA169:BB169"/>
    <mergeCell ref="BC169:BJ169"/>
    <mergeCell ref="AH160:BJ160"/>
    <mergeCell ref="AH161:BJ161"/>
    <mergeCell ref="T162:U162"/>
    <mergeCell ref="V162:AC162"/>
    <mergeCell ref="AH162:BJ162"/>
    <mergeCell ref="AH163:AO163"/>
    <mergeCell ref="AQ163:AY163"/>
    <mergeCell ref="BA163:BB163"/>
    <mergeCell ref="BC163:BJ163"/>
    <mergeCell ref="B157:H157"/>
    <mergeCell ref="J157:Q157"/>
    <mergeCell ref="AH157:AO157"/>
    <mergeCell ref="AQ157:AY157"/>
    <mergeCell ref="BA157:BB157"/>
    <mergeCell ref="BC157:BJ157"/>
    <mergeCell ref="AH158:AO158"/>
    <mergeCell ref="AQ158:AY158"/>
    <mergeCell ref="AH159:BJ159"/>
    <mergeCell ref="AG152:BK152"/>
    <mergeCell ref="AH153:BJ153"/>
    <mergeCell ref="AH154:BJ154"/>
    <mergeCell ref="AH155:BJ155"/>
    <mergeCell ref="B156:H156"/>
    <mergeCell ref="J156:Q156"/>
    <mergeCell ref="S156:T156"/>
    <mergeCell ref="U156:AD156"/>
    <mergeCell ref="AH156:BJ156"/>
    <mergeCell ref="AH148:BH148"/>
    <mergeCell ref="AH149:BH149"/>
    <mergeCell ref="D150:H150"/>
    <mergeCell ref="J150:P150"/>
    <mergeCell ref="R150:S150"/>
    <mergeCell ref="U150:V150"/>
    <mergeCell ref="W150:AD150"/>
    <mergeCell ref="AH150:BH150"/>
    <mergeCell ref="J151:P151"/>
    <mergeCell ref="AH151:BH151"/>
    <mergeCell ref="R145:V145"/>
    <mergeCell ref="W145:AD145"/>
    <mergeCell ref="AH145:BJ145"/>
    <mergeCell ref="S146:T147"/>
    <mergeCell ref="U146:V147"/>
    <mergeCell ref="W146:AD147"/>
    <mergeCell ref="AH146:AO146"/>
    <mergeCell ref="AQ146:AY146"/>
    <mergeCell ref="BA146:BB146"/>
    <mergeCell ref="BC146:BJ146"/>
    <mergeCell ref="AH147:AO147"/>
    <mergeCell ref="AQ147:AY147"/>
    <mergeCell ref="R142:V142"/>
    <mergeCell ref="W142:AD142"/>
    <mergeCell ref="AH142:BJ142"/>
    <mergeCell ref="R143:V143"/>
    <mergeCell ref="W143:AD143"/>
    <mergeCell ref="AH143:BJ143"/>
    <mergeCell ref="R144:V144"/>
    <mergeCell ref="W144:AD144"/>
    <mergeCell ref="AH144:BJ144"/>
    <mergeCell ref="J137:Q137"/>
    <mergeCell ref="AH137:BH137"/>
    <mergeCell ref="A138:AE138"/>
    <mergeCell ref="AG138:BK138"/>
    <mergeCell ref="AH139:BJ139"/>
    <mergeCell ref="R140:V140"/>
    <mergeCell ref="W140:AD140"/>
    <mergeCell ref="AH140:BJ140"/>
    <mergeCell ref="R141:V141"/>
    <mergeCell ref="W141:AD141"/>
    <mergeCell ref="AH141:BJ141"/>
    <mergeCell ref="A127:K127"/>
    <mergeCell ref="L127:AE127"/>
    <mergeCell ref="AG127:AU127"/>
    <mergeCell ref="AV127:BJ127"/>
    <mergeCell ref="AF129:AF172"/>
    <mergeCell ref="A130:AE130"/>
    <mergeCell ref="AG130:BK131"/>
    <mergeCell ref="B131:AC131"/>
    <mergeCell ref="B132:AD132"/>
    <mergeCell ref="AH132:BJ132"/>
    <mergeCell ref="B133:AD133"/>
    <mergeCell ref="AH133:BB133"/>
    <mergeCell ref="B134:N134"/>
    <mergeCell ref="AH135:AO135"/>
    <mergeCell ref="AQ135:AY135"/>
    <mergeCell ref="BA135:BB135"/>
    <mergeCell ref="BC135:BJ135"/>
    <mergeCell ref="B136:H136"/>
    <mergeCell ref="J136:Q136"/>
    <mergeCell ref="S136:T136"/>
    <mergeCell ref="U136:AB136"/>
    <mergeCell ref="AH136:AO136"/>
    <mergeCell ref="AQ136:AY136"/>
    <mergeCell ref="B137:H137"/>
    <mergeCell ref="AY28:AZ28"/>
    <mergeCell ref="BB28:BI28"/>
    <mergeCell ref="BB26:BI26"/>
    <mergeCell ref="BC35:BD35"/>
    <mergeCell ref="BE35:BJ35"/>
    <mergeCell ref="AK32:BK32"/>
    <mergeCell ref="AK33:BK33"/>
    <mergeCell ref="AK34:AZ34"/>
    <mergeCell ref="AK30:BK30"/>
    <mergeCell ref="AL36:AR36"/>
    <mergeCell ref="AU36:BA36"/>
    <mergeCell ref="AL35:AR35"/>
    <mergeCell ref="AU35:BA35"/>
    <mergeCell ref="AL55:AR55"/>
    <mergeCell ref="AT55:AZ55"/>
    <mergeCell ref="BB55:BC55"/>
    <mergeCell ref="BD55:BJ55"/>
    <mergeCell ref="AL56:AR56"/>
    <mergeCell ref="AT56:AZ56"/>
    <mergeCell ref="AK37:BK37"/>
    <mergeCell ref="AK38:AL39"/>
    <mergeCell ref="AK40:AL41"/>
    <mergeCell ref="AK42:AL43"/>
    <mergeCell ref="C61:T61"/>
    <mergeCell ref="C60:AH60"/>
    <mergeCell ref="C59:O59"/>
    <mergeCell ref="C58:AH58"/>
    <mergeCell ref="C34:AH34"/>
    <mergeCell ref="C35:AH35"/>
    <mergeCell ref="C36:AH36"/>
    <mergeCell ref="C37:AH37"/>
    <mergeCell ref="C38:AH38"/>
    <mergeCell ref="C39:AH39"/>
    <mergeCell ref="C40:N40"/>
    <mergeCell ref="D42:AA42"/>
    <mergeCell ref="D43:Q43"/>
    <mergeCell ref="D44:AH44"/>
    <mergeCell ref="D45:AH45"/>
    <mergeCell ref="D46:AH46"/>
    <mergeCell ref="X61:Y61"/>
    <mergeCell ref="Z61:AH61"/>
    <mergeCell ref="Y53:AH53"/>
    <mergeCell ref="D47:Y47"/>
    <mergeCell ref="N53:W53"/>
    <mergeCell ref="Y57:AH57"/>
    <mergeCell ref="Y56:AH56"/>
    <mergeCell ref="N57:W57"/>
    <mergeCell ref="C57:L57"/>
    <mergeCell ref="N56:W56"/>
    <mergeCell ref="C56:L56"/>
    <mergeCell ref="C54:L55"/>
    <mergeCell ref="N54:W55"/>
    <mergeCell ref="Y54:AH55"/>
    <mergeCell ref="A30:AI30"/>
    <mergeCell ref="A31:AI31"/>
    <mergeCell ref="C32:L32"/>
    <mergeCell ref="N32:W32"/>
    <mergeCell ref="Y32:AH32"/>
    <mergeCell ref="C33:L33"/>
    <mergeCell ref="N33:W33"/>
    <mergeCell ref="Y33:AH33"/>
    <mergeCell ref="B42:C42"/>
    <mergeCell ref="C53:L53"/>
    <mergeCell ref="C49:L49"/>
    <mergeCell ref="N49:W49"/>
    <mergeCell ref="Y49:AH49"/>
    <mergeCell ref="C50:L51"/>
    <mergeCell ref="N50:W51"/>
    <mergeCell ref="Y50:AH51"/>
    <mergeCell ref="X28:Y28"/>
    <mergeCell ref="Z28:AI28"/>
    <mergeCell ref="AK28:AL28"/>
    <mergeCell ref="AM28:AW28"/>
    <mergeCell ref="Y29:AI29"/>
    <mergeCell ref="AL29:AW29"/>
    <mergeCell ref="AL23:AW23"/>
    <mergeCell ref="AL24:AW24"/>
    <mergeCell ref="AL25:AW25"/>
    <mergeCell ref="AL26:AW26"/>
    <mergeCell ref="AZ21:BK22"/>
    <mergeCell ref="AZ23:BA23"/>
    <mergeCell ref="AZ24:BA24"/>
    <mergeCell ref="AZ25:BA25"/>
    <mergeCell ref="AZ26:BA26"/>
    <mergeCell ref="BB23:BI23"/>
    <mergeCell ref="A23:X23"/>
    <mergeCell ref="A24:X24"/>
    <mergeCell ref="A25:X25"/>
    <mergeCell ref="A26:X26"/>
    <mergeCell ref="Y22:AI22"/>
    <mergeCell ref="Y23:AI23"/>
    <mergeCell ref="Y24:AI24"/>
    <mergeCell ref="Y25:AI25"/>
    <mergeCell ref="Y26:AI26"/>
    <mergeCell ref="A21:U21"/>
    <mergeCell ref="Y21:AI21"/>
    <mergeCell ref="AL21:AW21"/>
    <mergeCell ref="A22:X22"/>
    <mergeCell ref="AL22:AW22"/>
    <mergeCell ref="BB25:BI25"/>
    <mergeCell ref="BB24:BI24"/>
    <mergeCell ref="AZ18:BA18"/>
    <mergeCell ref="BB18:BI18"/>
    <mergeCell ref="AY19:AZ19"/>
    <mergeCell ref="BB19:BI19"/>
    <mergeCell ref="X18:Y18"/>
    <mergeCell ref="Z18:AI18"/>
    <mergeCell ref="AK18:AL18"/>
    <mergeCell ref="AM18:AW18"/>
    <mergeCell ref="Y19:AI19"/>
    <mergeCell ref="AL19:AW19"/>
    <mergeCell ref="A17:X17"/>
    <mergeCell ref="Y17:AI17"/>
    <mergeCell ref="AL17:AW17"/>
    <mergeCell ref="AZ15:BK16"/>
    <mergeCell ref="AZ17:BA17"/>
    <mergeCell ref="BB17:BI17"/>
    <mergeCell ref="A15:X15"/>
    <mergeCell ref="Y15:AI15"/>
    <mergeCell ref="AL15:AW15"/>
    <mergeCell ref="A16:X16"/>
    <mergeCell ref="Y16:AI16"/>
    <mergeCell ref="AL16:AW16"/>
    <mergeCell ref="A14:X14"/>
    <mergeCell ref="Y14:AI14"/>
    <mergeCell ref="AL14:AW14"/>
    <mergeCell ref="AY14:AZ14"/>
    <mergeCell ref="BB14:BI14"/>
    <mergeCell ref="A13:X13"/>
    <mergeCell ref="Y13:AI13"/>
    <mergeCell ref="AL13:AW13"/>
    <mergeCell ref="AX13:AY13"/>
    <mergeCell ref="AZ13:BA13"/>
    <mergeCell ref="BB13:BI13"/>
    <mergeCell ref="A12:R12"/>
    <mergeCell ref="Y12:AI12"/>
    <mergeCell ref="AL12:AW12"/>
    <mergeCell ref="AZ12:BA12"/>
    <mergeCell ref="BB12:BI12"/>
    <mergeCell ref="A10:BK10"/>
    <mergeCell ref="A11:U11"/>
    <mergeCell ref="Y11:AI11"/>
    <mergeCell ref="AL11:AW11"/>
    <mergeCell ref="AZ11:BK11"/>
    <mergeCell ref="A5:AA5"/>
    <mergeCell ref="AB5:BJ5"/>
    <mergeCell ref="A7:BK8"/>
    <mergeCell ref="A4:J4"/>
    <mergeCell ref="AE4:AS4"/>
    <mergeCell ref="K4:AD4"/>
    <mergeCell ref="AT4:BJ4"/>
    <mergeCell ref="A1:BK1"/>
    <mergeCell ref="A3:J3"/>
    <mergeCell ref="K3:AF3"/>
    <mergeCell ref="AG3:AS3"/>
    <mergeCell ref="AT3:BJ3"/>
  </mergeCells>
  <pageMargins left="0.7" right="0.7" top="0.75" bottom="0.75" header="0.3" footer="0.3"/>
  <pageSetup scale="90" fitToWidth="0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27</xdr:col>
                    <xdr:colOff>47625</xdr:colOff>
                    <xdr:row>3</xdr:row>
                    <xdr:rowOff>314325</xdr:rowOff>
                  </from>
                  <to>
                    <xdr:col>39</xdr:col>
                    <xdr:colOff>57150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41</xdr:col>
                    <xdr:colOff>66675</xdr:colOff>
                    <xdr:row>3</xdr:row>
                    <xdr:rowOff>304800</xdr:rowOff>
                  </from>
                  <to>
                    <xdr:col>56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K95"/>
  <sheetViews>
    <sheetView topLeftCell="A25" zoomScaleNormal="100" workbookViewId="0">
      <selection activeCell="W25" sqref="A4:BK47"/>
    </sheetView>
  </sheetViews>
  <sheetFormatPr defaultColWidth="1.42578125" defaultRowHeight="15" x14ac:dyDescent="0.25"/>
  <cols>
    <col min="18" max="18" width="1.7109375" customWidth="1"/>
    <col min="32" max="32" width="1.42578125" style="11"/>
  </cols>
  <sheetData>
    <row r="1" spans="1:63" ht="5.25" customHeight="1" x14ac:dyDescent="0.25">
      <c r="A1" s="14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3"/>
    </row>
    <row r="2" spans="1:63" x14ac:dyDescent="0.25">
      <c r="A2" s="595" t="s">
        <v>1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  <c r="L2" s="597">
        <f>Name</f>
        <v>0</v>
      </c>
      <c r="M2" s="598"/>
      <c r="N2" s="598"/>
      <c r="O2" s="598"/>
      <c r="P2" s="598"/>
      <c r="Q2" s="598"/>
      <c r="R2" s="598"/>
      <c r="S2" s="598"/>
      <c r="T2" s="598"/>
      <c r="U2" s="598"/>
      <c r="V2" s="598"/>
      <c r="W2" s="598"/>
      <c r="X2" s="598"/>
      <c r="Y2" s="598"/>
      <c r="Z2" s="598"/>
      <c r="AA2" s="598"/>
      <c r="AB2" s="598"/>
      <c r="AC2" s="598"/>
      <c r="AD2" s="598"/>
      <c r="AE2" s="599"/>
      <c r="AF2" s="4"/>
      <c r="AG2" s="596" t="s">
        <v>2</v>
      </c>
      <c r="AH2" s="596"/>
      <c r="AI2" s="596"/>
      <c r="AJ2" s="596"/>
      <c r="AK2" s="596"/>
      <c r="AL2" s="596"/>
      <c r="AM2" s="596"/>
      <c r="AN2" s="596"/>
      <c r="AO2" s="596"/>
      <c r="AP2" s="596"/>
      <c r="AQ2" s="596"/>
      <c r="AR2" s="596"/>
      <c r="AS2" s="596"/>
      <c r="AT2" s="596"/>
      <c r="AU2" s="596"/>
      <c r="AV2" s="600">
        <f>Social</f>
        <v>0</v>
      </c>
      <c r="AW2" s="601"/>
      <c r="AX2" s="601"/>
      <c r="AY2" s="601"/>
      <c r="AZ2" s="601"/>
      <c r="BA2" s="601"/>
      <c r="BB2" s="601"/>
      <c r="BC2" s="601"/>
      <c r="BD2" s="601"/>
      <c r="BE2" s="601"/>
      <c r="BF2" s="601"/>
      <c r="BG2" s="601"/>
      <c r="BH2" s="601"/>
      <c r="BI2" s="601"/>
      <c r="BJ2" s="602"/>
      <c r="BK2" s="5"/>
    </row>
    <row r="3" spans="1:63" ht="4.5" customHeight="1" x14ac:dyDescent="0.25">
      <c r="A3" s="12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13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7"/>
    </row>
    <row r="4" spans="1:63" ht="4.5" customHeight="1" x14ac:dyDescent="0.25">
      <c r="AF4" s="603"/>
    </row>
    <row r="5" spans="1:63" s="1" customFormat="1" ht="11.25" customHeight="1" x14ac:dyDescent="0.2">
      <c r="A5" s="605" t="s">
        <v>89</v>
      </c>
      <c r="B5" s="606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606"/>
      <c r="R5" s="606"/>
      <c r="S5" s="606"/>
      <c r="T5" s="606"/>
      <c r="U5" s="606"/>
      <c r="V5" s="606"/>
      <c r="W5" s="606"/>
      <c r="X5" s="606"/>
      <c r="Y5" s="606"/>
      <c r="Z5" s="606"/>
      <c r="AA5" s="606"/>
      <c r="AB5" s="606"/>
      <c r="AC5" s="606"/>
      <c r="AD5" s="606"/>
      <c r="AE5" s="607"/>
      <c r="AF5" s="604"/>
      <c r="AG5" s="641" t="s">
        <v>133</v>
      </c>
      <c r="AH5" s="642"/>
      <c r="AI5" s="642"/>
      <c r="AJ5" s="642"/>
      <c r="AK5" s="642"/>
      <c r="AL5" s="642"/>
      <c r="AM5" s="642"/>
      <c r="AN5" s="642"/>
      <c r="AO5" s="642"/>
      <c r="AP5" s="642"/>
      <c r="AQ5" s="642"/>
      <c r="AR5" s="642"/>
      <c r="AS5" s="642"/>
      <c r="AT5" s="642"/>
      <c r="AU5" s="642"/>
      <c r="AV5" s="642"/>
      <c r="AW5" s="642"/>
      <c r="AX5" s="642"/>
      <c r="AY5" s="642"/>
      <c r="AZ5" s="642"/>
      <c r="BA5" s="642"/>
      <c r="BB5" s="642"/>
      <c r="BC5" s="642"/>
      <c r="BD5" s="642"/>
      <c r="BE5" s="642"/>
      <c r="BF5" s="642"/>
      <c r="BG5" s="642"/>
      <c r="BH5" s="642"/>
      <c r="BI5" s="642"/>
      <c r="BJ5" s="642"/>
      <c r="BK5" s="643"/>
    </row>
    <row r="6" spans="1:63" s="1" customFormat="1" ht="11.25" customHeight="1" x14ac:dyDescent="0.2">
      <c r="A6" s="15"/>
      <c r="B6" s="620" t="s">
        <v>90</v>
      </c>
      <c r="C6" s="620"/>
      <c r="D6" s="620"/>
      <c r="E6" s="620"/>
      <c r="F6" s="620"/>
      <c r="G6" s="620"/>
      <c r="H6" s="620"/>
      <c r="I6" s="620"/>
      <c r="J6" s="620"/>
      <c r="K6" s="620"/>
      <c r="L6" s="620"/>
      <c r="M6" s="620"/>
      <c r="N6" s="620"/>
      <c r="O6" s="620"/>
      <c r="P6" s="620"/>
      <c r="Q6" s="620"/>
      <c r="R6" s="620"/>
      <c r="S6" s="620"/>
      <c r="T6" s="620"/>
      <c r="U6" s="620"/>
      <c r="V6" s="620"/>
      <c r="W6" s="620"/>
      <c r="X6" s="620"/>
      <c r="Y6" s="620"/>
      <c r="Z6" s="620"/>
      <c r="AA6" s="620"/>
      <c r="AB6" s="620"/>
      <c r="AC6" s="620"/>
      <c r="AD6" s="28"/>
      <c r="AE6" s="16"/>
      <c r="AF6" s="604"/>
      <c r="AG6" s="644"/>
      <c r="AH6" s="645"/>
      <c r="AI6" s="645"/>
      <c r="AJ6" s="645"/>
      <c r="AK6" s="645"/>
      <c r="AL6" s="645"/>
      <c r="AM6" s="645"/>
      <c r="AN6" s="645"/>
      <c r="AO6" s="645"/>
      <c r="AP6" s="645"/>
      <c r="AQ6" s="645"/>
      <c r="AR6" s="645"/>
      <c r="AS6" s="645"/>
      <c r="AT6" s="645"/>
      <c r="AU6" s="645"/>
      <c r="AV6" s="645"/>
      <c r="AW6" s="645"/>
      <c r="AX6" s="645"/>
      <c r="AY6" s="645"/>
      <c r="AZ6" s="645"/>
      <c r="BA6" s="645"/>
      <c r="BB6" s="645"/>
      <c r="BC6" s="645"/>
      <c r="BD6" s="645"/>
      <c r="BE6" s="645"/>
      <c r="BF6" s="645"/>
      <c r="BG6" s="645"/>
      <c r="BH6" s="645"/>
      <c r="BI6" s="645"/>
      <c r="BJ6" s="645"/>
      <c r="BK6" s="646"/>
    </row>
    <row r="7" spans="1:63" s="1" customFormat="1" ht="11.25" customHeight="1" x14ac:dyDescent="0.2">
      <c r="A7" s="17"/>
      <c r="B7" s="621" t="s">
        <v>91</v>
      </c>
      <c r="C7" s="621"/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  <c r="O7" s="621"/>
      <c r="P7" s="621"/>
      <c r="Q7" s="621"/>
      <c r="R7" s="621"/>
      <c r="S7" s="621"/>
      <c r="T7" s="621"/>
      <c r="U7" s="621"/>
      <c r="V7" s="621"/>
      <c r="W7" s="621"/>
      <c r="X7" s="621"/>
      <c r="Y7" s="621"/>
      <c r="Z7" s="621"/>
      <c r="AA7" s="621"/>
      <c r="AB7" s="621"/>
      <c r="AC7" s="621"/>
      <c r="AD7" s="621"/>
      <c r="AE7" s="18"/>
      <c r="AF7" s="604"/>
      <c r="AG7" s="15"/>
      <c r="AH7" s="660" t="s">
        <v>135</v>
      </c>
      <c r="AI7" s="660"/>
      <c r="AJ7" s="660"/>
      <c r="AK7" s="660"/>
      <c r="AL7" s="660"/>
      <c r="AM7" s="660"/>
      <c r="AN7" s="660"/>
      <c r="AO7" s="660"/>
      <c r="AP7" s="660"/>
      <c r="AQ7" s="660"/>
      <c r="AR7" s="660"/>
      <c r="AS7" s="660"/>
      <c r="AT7" s="660"/>
      <c r="AU7" s="660"/>
      <c r="AV7" s="660"/>
      <c r="AW7" s="660"/>
      <c r="AX7" s="660"/>
      <c r="AY7" s="660"/>
      <c r="AZ7" s="660"/>
      <c r="BA7" s="660"/>
      <c r="BB7" s="660"/>
      <c r="BC7" s="660"/>
      <c r="BD7" s="660"/>
      <c r="BE7" s="660"/>
      <c r="BF7" s="660"/>
      <c r="BG7" s="660"/>
      <c r="BH7" s="660"/>
      <c r="BI7" s="660"/>
      <c r="BJ7" s="660"/>
      <c r="BK7" s="16"/>
    </row>
    <row r="8" spans="1:63" s="1" customFormat="1" ht="11.25" customHeight="1" x14ac:dyDescent="0.2">
      <c r="A8" s="17"/>
      <c r="B8" s="621" t="s">
        <v>92</v>
      </c>
      <c r="C8" s="621"/>
      <c r="D8" s="621"/>
      <c r="E8" s="621"/>
      <c r="F8" s="621"/>
      <c r="G8" s="621"/>
      <c r="H8" s="621"/>
      <c r="I8" s="621"/>
      <c r="J8" s="621"/>
      <c r="K8" s="621"/>
      <c r="L8" s="621"/>
      <c r="M8" s="621"/>
      <c r="N8" s="621"/>
      <c r="O8" s="621"/>
      <c r="P8" s="621"/>
      <c r="Q8" s="621"/>
      <c r="R8" s="621"/>
      <c r="S8" s="621"/>
      <c r="T8" s="621"/>
      <c r="U8" s="621"/>
      <c r="V8" s="621"/>
      <c r="W8" s="621"/>
      <c r="X8" s="621"/>
      <c r="Y8" s="621"/>
      <c r="Z8" s="621"/>
      <c r="AA8" s="621"/>
      <c r="AB8" s="621"/>
      <c r="AC8" s="621"/>
      <c r="AD8" s="621"/>
      <c r="AE8" s="18"/>
      <c r="AF8" s="604"/>
      <c r="AG8" s="17"/>
      <c r="AH8" s="661" t="s">
        <v>136</v>
      </c>
      <c r="AI8" s="661"/>
      <c r="AJ8" s="661"/>
      <c r="AK8" s="661"/>
      <c r="AL8" s="661"/>
      <c r="AM8" s="661"/>
      <c r="AN8" s="661"/>
      <c r="AO8" s="661"/>
      <c r="AP8" s="661"/>
      <c r="AQ8" s="661"/>
      <c r="AR8" s="661"/>
      <c r="AS8" s="661"/>
      <c r="AT8" s="661"/>
      <c r="AU8" s="661"/>
      <c r="AV8" s="661"/>
      <c r="AW8" s="661"/>
      <c r="AX8" s="661"/>
      <c r="AY8" s="661"/>
      <c r="AZ8" s="661"/>
      <c r="BA8" s="661"/>
      <c r="BB8" s="661"/>
      <c r="BC8" s="10"/>
      <c r="BD8" s="10"/>
      <c r="BE8" s="10"/>
      <c r="BF8" s="10"/>
      <c r="BG8" s="10"/>
      <c r="BH8" s="10"/>
      <c r="BI8" s="10"/>
      <c r="BJ8" s="10"/>
      <c r="BK8" s="18"/>
    </row>
    <row r="9" spans="1:63" s="1" customFormat="1" ht="11.25" customHeight="1" x14ac:dyDescent="0.2">
      <c r="A9" s="17"/>
      <c r="B9" s="621" t="s">
        <v>93</v>
      </c>
      <c r="C9" s="621"/>
      <c r="D9" s="621"/>
      <c r="E9" s="621"/>
      <c r="F9" s="621"/>
      <c r="G9" s="621"/>
      <c r="H9" s="621"/>
      <c r="I9" s="621"/>
      <c r="J9" s="621"/>
      <c r="K9" s="621"/>
      <c r="L9" s="621"/>
      <c r="M9" s="621"/>
      <c r="N9" s="621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604"/>
      <c r="AG9" s="17"/>
      <c r="AH9" s="9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8"/>
    </row>
    <row r="10" spans="1:63" s="1" customFormat="1" x14ac:dyDescent="0.25">
      <c r="A10" s="17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8"/>
      <c r="AF10" s="604"/>
      <c r="AG10" s="17"/>
      <c r="AH10" s="608" t="e">
        <f>IF(BoxJ="Go to K",BoxK,"N/A")</f>
        <v>#VALUE!</v>
      </c>
      <c r="AI10" s="609"/>
      <c r="AJ10" s="609"/>
      <c r="AK10" s="609"/>
      <c r="AL10" s="609"/>
      <c r="AM10" s="609"/>
      <c r="AN10" s="609"/>
      <c r="AO10" s="610"/>
      <c r="AP10" s="10" t="s">
        <v>82</v>
      </c>
      <c r="AQ10" s="647" t="e">
        <f>BoxO</f>
        <v>#VALUE!</v>
      </c>
      <c r="AR10" s="648"/>
      <c r="AS10" s="648"/>
      <c r="AT10" s="648"/>
      <c r="AU10" s="648"/>
      <c r="AV10" s="648"/>
      <c r="AW10" s="648"/>
      <c r="AX10" s="648"/>
      <c r="AY10" s="649"/>
      <c r="AZ10" s="10" t="s">
        <v>60</v>
      </c>
      <c r="BA10" s="650" t="s">
        <v>137</v>
      </c>
      <c r="BB10" s="651"/>
      <c r="BC10" s="648" t="e">
        <f>IF(BoxK="N/A",0,IF((BoxK-BoxO)&gt;0,(BoxK-BoxO),"STOP"))</f>
        <v>#VALUE!</v>
      </c>
      <c r="BD10" s="648"/>
      <c r="BE10" s="648"/>
      <c r="BF10" s="648"/>
      <c r="BG10" s="648"/>
      <c r="BH10" s="648"/>
      <c r="BI10" s="648"/>
      <c r="BJ10" s="649"/>
      <c r="BK10" s="18"/>
    </row>
    <row r="11" spans="1:63" s="1" customFormat="1" x14ac:dyDescent="0.25">
      <c r="A11" s="17"/>
      <c r="B11" s="608" t="e">
        <f>IF(BoxJ="Go to K",BoxE,"N/A")</f>
        <v>#VALUE!</v>
      </c>
      <c r="C11" s="609"/>
      <c r="D11" s="609"/>
      <c r="E11" s="609"/>
      <c r="F11" s="609"/>
      <c r="G11" s="609"/>
      <c r="H11" s="610"/>
      <c r="I11" s="10" t="s">
        <v>82</v>
      </c>
      <c r="J11" s="608" t="e">
        <f>IF(BoxJ="Go to K",BoxI,"N/A")</f>
        <v>#VALUE!</v>
      </c>
      <c r="K11" s="609"/>
      <c r="L11" s="609"/>
      <c r="M11" s="609"/>
      <c r="N11" s="609"/>
      <c r="O11" s="609"/>
      <c r="P11" s="609"/>
      <c r="Q11" s="610"/>
      <c r="R11" s="10" t="s">
        <v>60</v>
      </c>
      <c r="S11" s="611" t="s">
        <v>94</v>
      </c>
      <c r="T11" s="612"/>
      <c r="U11" s="609" t="e">
        <f>IF(BoxJ="Go to K",(BoxE-BoxI),"N/A")</f>
        <v>#VALUE!</v>
      </c>
      <c r="V11" s="609"/>
      <c r="W11" s="609"/>
      <c r="X11" s="609"/>
      <c r="Y11" s="609"/>
      <c r="Z11" s="609"/>
      <c r="AA11" s="609"/>
      <c r="AB11" s="610"/>
      <c r="AC11" s="10"/>
      <c r="AD11" s="10"/>
      <c r="AE11" s="18"/>
      <c r="AF11" s="604"/>
      <c r="AG11" s="17"/>
      <c r="AH11" s="659" t="s">
        <v>138</v>
      </c>
      <c r="AI11" s="659"/>
      <c r="AJ11" s="659"/>
      <c r="AK11" s="659"/>
      <c r="AL11" s="659"/>
      <c r="AM11" s="659"/>
      <c r="AN11" s="659"/>
      <c r="AO11" s="659"/>
      <c r="AP11" s="10"/>
      <c r="AQ11" s="659" t="s">
        <v>139</v>
      </c>
      <c r="AR11" s="659"/>
      <c r="AS11" s="659"/>
      <c r="AT11" s="659"/>
      <c r="AU11" s="659"/>
      <c r="AV11" s="659"/>
      <c r="AW11" s="659"/>
      <c r="AX11" s="659"/>
      <c r="AY11" s="659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8"/>
    </row>
    <row r="12" spans="1:63" s="1" customFormat="1" ht="11.25" customHeight="1" x14ac:dyDescent="0.2">
      <c r="A12" s="20"/>
      <c r="B12" s="619" t="s">
        <v>84</v>
      </c>
      <c r="C12" s="619"/>
      <c r="D12" s="619"/>
      <c r="E12" s="619"/>
      <c r="F12" s="619"/>
      <c r="G12" s="619"/>
      <c r="H12" s="619"/>
      <c r="I12" s="21"/>
      <c r="J12" s="619" t="s">
        <v>83</v>
      </c>
      <c r="K12" s="619"/>
      <c r="L12" s="619"/>
      <c r="M12" s="619"/>
      <c r="N12" s="619"/>
      <c r="O12" s="619"/>
      <c r="P12" s="619"/>
      <c r="Q12" s="619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2"/>
      <c r="AF12" s="604"/>
      <c r="AG12" s="20"/>
      <c r="AH12" s="662" t="s">
        <v>140</v>
      </c>
      <c r="AI12" s="662"/>
      <c r="AJ12" s="662"/>
      <c r="AK12" s="662"/>
      <c r="AL12" s="662"/>
      <c r="AM12" s="662"/>
      <c r="AN12" s="662"/>
      <c r="AO12" s="662"/>
      <c r="AP12" s="662"/>
      <c r="AQ12" s="662"/>
      <c r="AR12" s="662"/>
      <c r="AS12" s="662"/>
      <c r="AT12" s="662"/>
      <c r="AU12" s="662"/>
      <c r="AV12" s="662"/>
      <c r="AW12" s="662"/>
      <c r="AX12" s="662"/>
      <c r="AY12" s="662"/>
      <c r="AZ12" s="662"/>
      <c r="BA12" s="662"/>
      <c r="BB12" s="662"/>
      <c r="BC12" s="662"/>
      <c r="BD12" s="662"/>
      <c r="BE12" s="662"/>
      <c r="BF12" s="662"/>
      <c r="BG12" s="662"/>
      <c r="BH12" s="662"/>
      <c r="BI12" s="21"/>
      <c r="BJ12" s="21"/>
      <c r="BK12" s="22"/>
    </row>
    <row r="13" spans="1:63" s="1" customFormat="1" ht="11.25" customHeight="1" x14ac:dyDescent="0.2">
      <c r="A13" s="605" t="s">
        <v>95</v>
      </c>
      <c r="B13" s="606"/>
      <c r="C13" s="606"/>
      <c r="D13" s="606"/>
      <c r="E13" s="606"/>
      <c r="F13" s="606"/>
      <c r="G13" s="606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  <c r="U13" s="606"/>
      <c r="V13" s="606"/>
      <c r="W13" s="606"/>
      <c r="X13" s="606"/>
      <c r="Y13" s="606"/>
      <c r="Z13" s="606"/>
      <c r="AA13" s="606"/>
      <c r="AB13" s="606"/>
      <c r="AC13" s="606"/>
      <c r="AD13" s="606"/>
      <c r="AE13" s="607"/>
      <c r="AF13" s="604"/>
      <c r="AG13" s="605" t="s">
        <v>141</v>
      </c>
      <c r="AH13" s="606"/>
      <c r="AI13" s="606"/>
      <c r="AJ13" s="606"/>
      <c r="AK13" s="606"/>
      <c r="AL13" s="606"/>
      <c r="AM13" s="606"/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AX13" s="606"/>
      <c r="AY13" s="606"/>
      <c r="AZ13" s="606"/>
      <c r="BA13" s="606"/>
      <c r="BB13" s="606"/>
      <c r="BC13" s="606"/>
      <c r="BD13" s="606"/>
      <c r="BE13" s="606"/>
      <c r="BF13" s="606"/>
      <c r="BG13" s="606"/>
      <c r="BH13" s="606"/>
      <c r="BI13" s="606"/>
      <c r="BJ13" s="606"/>
      <c r="BK13" s="607"/>
    </row>
    <row r="14" spans="1:63" s="1" customFormat="1" ht="11.25" customHeight="1" thickBot="1" x14ac:dyDescent="0.25">
      <c r="A14" s="15"/>
      <c r="B14" s="24" t="s">
        <v>96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16"/>
      <c r="AF14" s="604"/>
      <c r="AG14" s="15"/>
      <c r="AH14" s="620" t="s">
        <v>142</v>
      </c>
      <c r="AI14" s="620"/>
      <c r="AJ14" s="620"/>
      <c r="AK14" s="620"/>
      <c r="AL14" s="620"/>
      <c r="AM14" s="620"/>
      <c r="AN14" s="620"/>
      <c r="AO14" s="620"/>
      <c r="AP14" s="620"/>
      <c r="AQ14" s="620"/>
      <c r="AR14" s="620"/>
      <c r="AS14" s="620"/>
      <c r="AT14" s="620"/>
      <c r="AU14" s="620"/>
      <c r="AV14" s="620"/>
      <c r="AW14" s="620"/>
      <c r="AX14" s="620"/>
      <c r="AY14" s="620"/>
      <c r="AZ14" s="620"/>
      <c r="BA14" s="620"/>
      <c r="BB14" s="620"/>
      <c r="BC14" s="620"/>
      <c r="BD14" s="620"/>
      <c r="BE14" s="620"/>
      <c r="BF14" s="620"/>
      <c r="BG14" s="620"/>
      <c r="BH14" s="620"/>
      <c r="BI14" s="620"/>
      <c r="BJ14" s="620"/>
      <c r="BK14" s="16"/>
    </row>
    <row r="15" spans="1:63" s="1" customFormat="1" ht="11.25" customHeight="1" x14ac:dyDescent="0.2">
      <c r="A15" s="17"/>
      <c r="B15" s="10"/>
      <c r="C15" s="8" t="s">
        <v>97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619" t="s">
        <v>98</v>
      </c>
      <c r="S15" s="619"/>
      <c r="T15" s="619"/>
      <c r="U15" s="619"/>
      <c r="V15" s="619"/>
      <c r="W15" s="613">
        <f>Withdrawal!$D$6</f>
        <v>0</v>
      </c>
      <c r="X15" s="614"/>
      <c r="Y15" s="614"/>
      <c r="Z15" s="614"/>
      <c r="AA15" s="614"/>
      <c r="AB15" s="614"/>
      <c r="AC15" s="614"/>
      <c r="AD15" s="615"/>
      <c r="AE15" s="18"/>
      <c r="AF15" s="604"/>
      <c r="AG15" s="17"/>
      <c r="AH15" s="621" t="s">
        <v>143</v>
      </c>
      <c r="AI15" s="621"/>
      <c r="AJ15" s="621"/>
      <c r="AK15" s="621"/>
      <c r="AL15" s="621"/>
      <c r="AM15" s="621"/>
      <c r="AN15" s="621"/>
      <c r="AO15" s="621"/>
      <c r="AP15" s="621"/>
      <c r="AQ15" s="621"/>
      <c r="AR15" s="621"/>
      <c r="AS15" s="621"/>
      <c r="AT15" s="621"/>
      <c r="AU15" s="621"/>
      <c r="AV15" s="621"/>
      <c r="AW15" s="621"/>
      <c r="AX15" s="621"/>
      <c r="AY15" s="621"/>
      <c r="AZ15" s="621"/>
      <c r="BA15" s="621"/>
      <c r="BB15" s="621"/>
      <c r="BC15" s="621"/>
      <c r="BD15" s="621"/>
      <c r="BE15" s="621"/>
      <c r="BF15" s="621"/>
      <c r="BG15" s="621"/>
      <c r="BH15" s="621"/>
      <c r="BI15" s="621"/>
      <c r="BJ15" s="621"/>
      <c r="BK15" s="18"/>
    </row>
    <row r="16" spans="1:63" s="1" customFormat="1" ht="11.25" customHeight="1" x14ac:dyDescent="0.2">
      <c r="A16" s="17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619" t="s">
        <v>99</v>
      </c>
      <c r="S16" s="619"/>
      <c r="T16" s="619"/>
      <c r="U16" s="619"/>
      <c r="V16" s="619"/>
      <c r="W16" s="616"/>
      <c r="X16" s="617"/>
      <c r="Y16" s="617"/>
      <c r="Z16" s="617"/>
      <c r="AA16" s="617"/>
      <c r="AB16" s="617"/>
      <c r="AC16" s="617"/>
      <c r="AD16" s="618"/>
      <c r="AE16" s="18"/>
      <c r="AF16" s="604"/>
      <c r="AG16" s="17"/>
      <c r="AH16" s="621" t="s">
        <v>144</v>
      </c>
      <c r="AI16" s="621"/>
      <c r="AJ16" s="621"/>
      <c r="AK16" s="621"/>
      <c r="AL16" s="621"/>
      <c r="AM16" s="621"/>
      <c r="AN16" s="621"/>
      <c r="AO16" s="621"/>
      <c r="AP16" s="621"/>
      <c r="AQ16" s="621"/>
      <c r="AR16" s="621"/>
      <c r="AS16" s="621"/>
      <c r="AT16" s="621"/>
      <c r="AU16" s="621"/>
      <c r="AV16" s="621"/>
      <c r="AW16" s="621"/>
      <c r="AX16" s="621"/>
      <c r="AY16" s="621"/>
      <c r="AZ16" s="621"/>
      <c r="BA16" s="621"/>
      <c r="BB16" s="621"/>
      <c r="BC16" s="621"/>
      <c r="BD16" s="621"/>
      <c r="BE16" s="621"/>
      <c r="BF16" s="621"/>
      <c r="BG16" s="621"/>
      <c r="BH16" s="621"/>
      <c r="BI16" s="621"/>
      <c r="BJ16" s="621"/>
      <c r="BK16" s="18"/>
    </row>
    <row r="17" spans="1:63" s="1" customFormat="1" ht="11.25" customHeight="1" x14ac:dyDescent="0.2">
      <c r="A17" s="17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619" t="s">
        <v>100</v>
      </c>
      <c r="S17" s="619"/>
      <c r="T17" s="619"/>
      <c r="U17" s="619"/>
      <c r="V17" s="619"/>
      <c r="W17" s="616"/>
      <c r="X17" s="617"/>
      <c r="Y17" s="617"/>
      <c r="Z17" s="617"/>
      <c r="AA17" s="617"/>
      <c r="AB17" s="617"/>
      <c r="AC17" s="617"/>
      <c r="AD17" s="618"/>
      <c r="AE17" s="18"/>
      <c r="AF17" s="604"/>
      <c r="AG17" s="17"/>
      <c r="AH17" s="621" t="s">
        <v>145</v>
      </c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621"/>
      <c r="AX17" s="621"/>
      <c r="AY17" s="621"/>
      <c r="AZ17" s="621"/>
      <c r="BA17" s="621"/>
      <c r="BB17" s="621"/>
      <c r="BC17" s="621"/>
      <c r="BD17" s="621"/>
      <c r="BE17" s="621"/>
      <c r="BF17" s="621"/>
      <c r="BG17" s="621"/>
      <c r="BH17" s="621"/>
      <c r="BI17" s="621"/>
      <c r="BJ17" s="621"/>
      <c r="BK17" s="18"/>
    </row>
    <row r="18" spans="1:63" s="1" customFormat="1" ht="11.25" customHeight="1" x14ac:dyDescent="0.2">
      <c r="A18" s="17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619" t="s">
        <v>101</v>
      </c>
      <c r="S18" s="619"/>
      <c r="T18" s="619"/>
      <c r="U18" s="619"/>
      <c r="V18" s="619"/>
      <c r="W18" s="616"/>
      <c r="X18" s="617"/>
      <c r="Y18" s="617"/>
      <c r="Z18" s="617"/>
      <c r="AA18" s="617"/>
      <c r="AB18" s="617"/>
      <c r="AC18" s="617"/>
      <c r="AD18" s="618"/>
      <c r="AE18" s="18"/>
      <c r="AF18" s="604"/>
      <c r="AG18" s="17"/>
      <c r="AH18" s="621" t="s">
        <v>146</v>
      </c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621"/>
      <c r="AX18" s="621"/>
      <c r="AY18" s="621"/>
      <c r="AZ18" s="621"/>
      <c r="BA18" s="621"/>
      <c r="BB18" s="621"/>
      <c r="BC18" s="621"/>
      <c r="BD18" s="621"/>
      <c r="BE18" s="621"/>
      <c r="BF18" s="621"/>
      <c r="BG18" s="621"/>
      <c r="BH18" s="621"/>
      <c r="BI18" s="621"/>
      <c r="BJ18" s="621"/>
      <c r="BK18" s="18"/>
    </row>
    <row r="19" spans="1:63" s="1" customFormat="1" ht="11.25" customHeight="1" x14ac:dyDescent="0.2">
      <c r="A19" s="17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619" t="s">
        <v>101</v>
      </c>
      <c r="S19" s="619"/>
      <c r="T19" s="619"/>
      <c r="U19" s="619"/>
      <c r="V19" s="619"/>
      <c r="W19" s="616"/>
      <c r="X19" s="617"/>
      <c r="Y19" s="617"/>
      <c r="Z19" s="617"/>
      <c r="AA19" s="617"/>
      <c r="AB19" s="617"/>
      <c r="AC19" s="617"/>
      <c r="AD19" s="618"/>
      <c r="AE19" s="18"/>
      <c r="AF19" s="604"/>
      <c r="AG19" s="17"/>
      <c r="AH19" s="621" t="s">
        <v>147</v>
      </c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621"/>
      <c r="AX19" s="621"/>
      <c r="AY19" s="621"/>
      <c r="AZ19" s="621"/>
      <c r="BA19" s="621"/>
      <c r="BB19" s="621"/>
      <c r="BC19" s="621"/>
      <c r="BD19" s="621"/>
      <c r="BE19" s="621"/>
      <c r="BF19" s="621"/>
      <c r="BG19" s="621"/>
      <c r="BH19" s="621"/>
      <c r="BI19" s="621"/>
      <c r="BJ19" s="621"/>
      <c r="BK19" s="18"/>
    </row>
    <row r="20" spans="1:63" s="1" customFormat="1" ht="11.25" customHeight="1" thickBot="1" x14ac:dyDescent="0.25">
      <c r="A20" s="17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619" t="s">
        <v>101</v>
      </c>
      <c r="S20" s="619"/>
      <c r="T20" s="619"/>
      <c r="U20" s="619"/>
      <c r="V20" s="619"/>
      <c r="W20" s="637"/>
      <c r="X20" s="638"/>
      <c r="Y20" s="638"/>
      <c r="Z20" s="638"/>
      <c r="AA20" s="638"/>
      <c r="AB20" s="638"/>
      <c r="AC20" s="638"/>
      <c r="AD20" s="639"/>
      <c r="AE20" s="18"/>
      <c r="AF20" s="604"/>
      <c r="AG20" s="17"/>
      <c r="AH20" s="621" t="s">
        <v>148</v>
      </c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621"/>
      <c r="AX20" s="621"/>
      <c r="AY20" s="621"/>
      <c r="AZ20" s="621"/>
      <c r="BA20" s="621"/>
      <c r="BB20" s="621"/>
      <c r="BC20" s="621"/>
      <c r="BD20" s="621"/>
      <c r="BE20" s="621"/>
      <c r="BF20" s="621"/>
      <c r="BG20" s="621"/>
      <c r="BH20" s="621"/>
      <c r="BI20" s="621"/>
      <c r="BJ20" s="621"/>
      <c r="BK20" s="18"/>
    </row>
    <row r="21" spans="1:63" s="1" customFormat="1" x14ac:dyDescent="0.25">
      <c r="A21" s="17"/>
      <c r="B21" s="26" t="s">
        <v>103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633" t="s">
        <v>60</v>
      </c>
      <c r="T21" s="633"/>
      <c r="U21" s="625" t="s">
        <v>102</v>
      </c>
      <c r="V21" s="626"/>
      <c r="W21" s="629" t="e">
        <f>IF(BoxJ="Go to K",(SUM($W$15:$AD$20)),"N/A")</f>
        <v>#VALUE!</v>
      </c>
      <c r="X21" s="629"/>
      <c r="Y21" s="629"/>
      <c r="Z21" s="629"/>
      <c r="AA21" s="629"/>
      <c r="AB21" s="629"/>
      <c r="AC21" s="629"/>
      <c r="AD21" s="630"/>
      <c r="AE21" s="18"/>
      <c r="AF21" s="604"/>
      <c r="AG21" s="17"/>
      <c r="AH21" s="608" t="e">
        <f>IF(BoxQ="STOP","N/A",BoxB)</f>
        <v>#VALUE!</v>
      </c>
      <c r="AI21" s="609"/>
      <c r="AJ21" s="609"/>
      <c r="AK21" s="609"/>
      <c r="AL21" s="609"/>
      <c r="AM21" s="609"/>
      <c r="AN21" s="609"/>
      <c r="AO21" s="610"/>
      <c r="AP21" s="10" t="s">
        <v>82</v>
      </c>
      <c r="AQ21" s="647" t="e">
        <f>IF(BoxQ="STOP","N/A",BoxP)</f>
        <v>#VALUE!</v>
      </c>
      <c r="AR21" s="648"/>
      <c r="AS21" s="648"/>
      <c r="AT21" s="648"/>
      <c r="AU21" s="648"/>
      <c r="AV21" s="648"/>
      <c r="AW21" s="648"/>
      <c r="AX21" s="648"/>
      <c r="AY21" s="649"/>
      <c r="AZ21" s="10" t="s">
        <v>60</v>
      </c>
      <c r="BA21" s="650" t="s">
        <v>151</v>
      </c>
      <c r="BB21" s="651"/>
      <c r="BC21" s="648" t="e">
        <f>IF(BoxQ="STOP","N/A",BoxB-BoxP)</f>
        <v>#VALUE!</v>
      </c>
      <c r="BD21" s="648"/>
      <c r="BE21" s="648"/>
      <c r="BF21" s="648"/>
      <c r="BG21" s="648"/>
      <c r="BH21" s="648"/>
      <c r="BI21" s="648"/>
      <c r="BJ21" s="649"/>
      <c r="BK21" s="18"/>
    </row>
    <row r="22" spans="1:63" s="1" customFormat="1" ht="11.25" customHeight="1" x14ac:dyDescent="0.2">
      <c r="A22" s="17"/>
      <c r="B22" s="27" t="s">
        <v>104</v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633"/>
      <c r="T22" s="633"/>
      <c r="U22" s="627"/>
      <c r="V22" s="628"/>
      <c r="W22" s="631"/>
      <c r="X22" s="631"/>
      <c r="Y22" s="631"/>
      <c r="Z22" s="631"/>
      <c r="AA22" s="631"/>
      <c r="AB22" s="631"/>
      <c r="AC22" s="631"/>
      <c r="AD22" s="632"/>
      <c r="AE22" s="18"/>
      <c r="AF22" s="604"/>
      <c r="AG22" s="17"/>
      <c r="AH22" s="659" t="s">
        <v>149</v>
      </c>
      <c r="AI22" s="659"/>
      <c r="AJ22" s="659"/>
      <c r="AK22" s="659"/>
      <c r="AL22" s="659"/>
      <c r="AM22" s="659"/>
      <c r="AN22" s="659"/>
      <c r="AO22" s="659"/>
      <c r="AP22" s="10"/>
      <c r="AQ22" s="659" t="s">
        <v>150</v>
      </c>
      <c r="AR22" s="659"/>
      <c r="AS22" s="659"/>
      <c r="AT22" s="659"/>
      <c r="AU22" s="659"/>
      <c r="AV22" s="659"/>
      <c r="AW22" s="659"/>
      <c r="AX22" s="659"/>
      <c r="AY22" s="659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8"/>
    </row>
    <row r="23" spans="1:63" s="1" customFormat="1" ht="11.25" customHeight="1" x14ac:dyDescent="0.2">
      <c r="A23" s="1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8"/>
      <c r="AF23" s="604"/>
      <c r="AG23" s="17"/>
      <c r="AH23" s="678" t="s">
        <v>152</v>
      </c>
      <c r="AI23" s="678"/>
      <c r="AJ23" s="678"/>
      <c r="AK23" s="678"/>
      <c r="AL23" s="678"/>
      <c r="AM23" s="678"/>
      <c r="AN23" s="678"/>
      <c r="AO23" s="678"/>
      <c r="AP23" s="678"/>
      <c r="AQ23" s="678"/>
      <c r="AR23" s="678"/>
      <c r="AS23" s="678"/>
      <c r="AT23" s="678"/>
      <c r="AU23" s="678"/>
      <c r="AV23" s="678"/>
      <c r="AW23" s="678"/>
      <c r="AX23" s="678"/>
      <c r="AY23" s="678"/>
      <c r="AZ23" s="678"/>
      <c r="BA23" s="678"/>
      <c r="BB23" s="678"/>
      <c r="BC23" s="678"/>
      <c r="BD23" s="678"/>
      <c r="BE23" s="678"/>
      <c r="BF23" s="678"/>
      <c r="BG23" s="678"/>
      <c r="BH23" s="678"/>
      <c r="BI23" s="10"/>
      <c r="BJ23" s="10"/>
      <c r="BK23" s="18"/>
    </row>
    <row r="24" spans="1:63" s="1" customFormat="1" ht="11.25" customHeight="1" x14ac:dyDescent="0.2">
      <c r="A24" s="17"/>
      <c r="B24" s="8" t="s">
        <v>105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8"/>
      <c r="AF24" s="604"/>
      <c r="AG24" s="17"/>
      <c r="AH24" s="677" t="s">
        <v>153</v>
      </c>
      <c r="AI24" s="677"/>
      <c r="AJ24" s="677"/>
      <c r="AK24" s="677"/>
      <c r="AL24" s="677"/>
      <c r="AM24" s="677"/>
      <c r="AN24" s="677"/>
      <c r="AO24" s="677"/>
      <c r="AP24" s="677"/>
      <c r="AQ24" s="677"/>
      <c r="AR24" s="677"/>
      <c r="AS24" s="677"/>
      <c r="AT24" s="677"/>
      <c r="AU24" s="677"/>
      <c r="AV24" s="677"/>
      <c r="AW24" s="677"/>
      <c r="AX24" s="677"/>
      <c r="AY24" s="677"/>
      <c r="AZ24" s="677"/>
      <c r="BA24" s="677"/>
      <c r="BB24" s="677"/>
      <c r="BC24" s="677"/>
      <c r="BD24" s="677"/>
      <c r="BE24" s="677"/>
      <c r="BF24" s="677"/>
      <c r="BG24" s="677"/>
      <c r="BH24" s="677"/>
      <c r="BI24" s="10"/>
      <c r="BJ24" s="10"/>
      <c r="BK24" s="18"/>
    </row>
    <row r="25" spans="1:63" s="1" customFormat="1" x14ac:dyDescent="0.25">
      <c r="A25" s="17"/>
      <c r="B25" s="10"/>
      <c r="C25" s="10"/>
      <c r="D25" s="635">
        <v>1</v>
      </c>
      <c r="E25" s="612"/>
      <c r="F25" s="612"/>
      <c r="G25" s="612"/>
      <c r="H25" s="636"/>
      <c r="I25" s="10" t="s">
        <v>82</v>
      </c>
      <c r="J25" s="668" t="e">
        <f>IF(BoxJ="Go to K",BoxH,"N/A")</f>
        <v>#VALUE!</v>
      </c>
      <c r="K25" s="669"/>
      <c r="L25" s="669"/>
      <c r="M25" s="669"/>
      <c r="N25" s="669"/>
      <c r="O25" s="669"/>
      <c r="P25" s="670"/>
      <c r="Q25" s="10"/>
      <c r="R25" s="624" t="s">
        <v>60</v>
      </c>
      <c r="S25" s="624"/>
      <c r="T25" s="10"/>
      <c r="U25" s="622" t="s">
        <v>106</v>
      </c>
      <c r="V25" s="623"/>
      <c r="W25" s="671" t="e">
        <f>IF(BoxJ="Go to K",(100%-BoxH),"N/A")</f>
        <v>#VALUE!</v>
      </c>
      <c r="X25" s="671"/>
      <c r="Y25" s="671"/>
      <c r="Z25" s="671"/>
      <c r="AA25" s="671"/>
      <c r="AB25" s="671"/>
      <c r="AC25" s="671"/>
      <c r="AD25" s="672"/>
      <c r="AE25" s="18"/>
      <c r="AF25" s="604"/>
      <c r="AG25" s="17"/>
      <c r="AH25" s="677" t="s">
        <v>154</v>
      </c>
      <c r="AI25" s="677"/>
      <c r="AJ25" s="677"/>
      <c r="AK25" s="677"/>
      <c r="AL25" s="677"/>
      <c r="AM25" s="677"/>
      <c r="AN25" s="677"/>
      <c r="AO25" s="677"/>
      <c r="AP25" s="677"/>
      <c r="AQ25" s="677"/>
      <c r="AR25" s="677"/>
      <c r="AS25" s="677"/>
      <c r="AT25" s="677"/>
      <c r="AU25" s="677"/>
      <c r="AV25" s="677"/>
      <c r="AW25" s="677"/>
      <c r="AX25" s="677"/>
      <c r="AY25" s="677"/>
      <c r="AZ25" s="677"/>
      <c r="BA25" s="677"/>
      <c r="BB25" s="677"/>
      <c r="BC25" s="677"/>
      <c r="BD25" s="677"/>
      <c r="BE25" s="677"/>
      <c r="BF25" s="677"/>
      <c r="BG25" s="677"/>
      <c r="BH25" s="677"/>
      <c r="BI25" s="10"/>
      <c r="BJ25" s="10"/>
      <c r="BK25" s="18"/>
    </row>
    <row r="26" spans="1:63" s="1" customFormat="1" ht="12" x14ac:dyDescent="0.2">
      <c r="A26" s="17"/>
      <c r="B26" s="10"/>
      <c r="C26" s="10"/>
      <c r="D26" s="10"/>
      <c r="E26" s="10"/>
      <c r="F26" s="10"/>
      <c r="G26" s="10"/>
      <c r="H26" s="10"/>
      <c r="I26" s="10"/>
      <c r="J26" s="634" t="s">
        <v>67</v>
      </c>
      <c r="K26" s="634"/>
      <c r="L26" s="634"/>
      <c r="M26" s="634"/>
      <c r="N26" s="634"/>
      <c r="O26" s="634"/>
      <c r="P26" s="634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8"/>
      <c r="AF26" s="604"/>
      <c r="AG26" s="20"/>
      <c r="AH26" s="662" t="s">
        <v>155</v>
      </c>
      <c r="AI26" s="662"/>
      <c r="AJ26" s="662"/>
      <c r="AK26" s="662"/>
      <c r="AL26" s="662"/>
      <c r="AM26" s="662"/>
      <c r="AN26" s="662"/>
      <c r="AO26" s="662"/>
      <c r="AP26" s="662"/>
      <c r="AQ26" s="662"/>
      <c r="AR26" s="662"/>
      <c r="AS26" s="662"/>
      <c r="AT26" s="662"/>
      <c r="AU26" s="662"/>
      <c r="AV26" s="662"/>
      <c r="AW26" s="662"/>
      <c r="AX26" s="662"/>
      <c r="AY26" s="662"/>
      <c r="AZ26" s="662"/>
      <c r="BA26" s="662"/>
      <c r="BB26" s="662"/>
      <c r="BC26" s="662"/>
      <c r="BD26" s="662"/>
      <c r="BE26" s="662"/>
      <c r="BF26" s="662"/>
      <c r="BG26" s="662"/>
      <c r="BH26" s="662"/>
      <c r="BI26" s="21"/>
      <c r="BJ26" s="21"/>
      <c r="BK26" s="22"/>
    </row>
    <row r="27" spans="1:63" s="1" customFormat="1" ht="11.25" customHeight="1" x14ac:dyDescent="0.2">
      <c r="A27" s="17"/>
      <c r="B27" s="8" t="s">
        <v>107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8"/>
      <c r="AF27" s="604"/>
      <c r="AG27" s="605" t="s">
        <v>156</v>
      </c>
      <c r="AH27" s="606"/>
      <c r="AI27" s="606"/>
      <c r="AJ27" s="606"/>
      <c r="AK27" s="606"/>
      <c r="AL27" s="606"/>
      <c r="AM27" s="606"/>
      <c r="AN27" s="606"/>
      <c r="AO27" s="606"/>
      <c r="AP27" s="606"/>
      <c r="AQ27" s="606"/>
      <c r="AR27" s="606"/>
      <c r="AS27" s="606"/>
      <c r="AT27" s="606"/>
      <c r="AU27" s="606"/>
      <c r="AV27" s="606"/>
      <c r="AW27" s="606"/>
      <c r="AX27" s="606"/>
      <c r="AY27" s="606"/>
      <c r="AZ27" s="606"/>
      <c r="BA27" s="606"/>
      <c r="BB27" s="606"/>
      <c r="BC27" s="606"/>
      <c r="BD27" s="606"/>
      <c r="BE27" s="606"/>
      <c r="BF27" s="606"/>
      <c r="BG27" s="606"/>
      <c r="BH27" s="606"/>
      <c r="BI27" s="606"/>
      <c r="BJ27" s="606"/>
      <c r="BK27" s="607"/>
    </row>
    <row r="28" spans="1:63" s="1" customFormat="1" ht="11.25" customHeight="1" x14ac:dyDescent="0.2">
      <c r="A28" s="17"/>
      <c r="B28" s="10"/>
      <c r="C28" s="10" t="s">
        <v>108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8"/>
      <c r="AF28" s="604"/>
      <c r="AG28" s="15"/>
      <c r="AH28" s="680" t="s">
        <v>157</v>
      </c>
      <c r="AI28" s="680"/>
      <c r="AJ28" s="680"/>
      <c r="AK28" s="680"/>
      <c r="AL28" s="680"/>
      <c r="AM28" s="680"/>
      <c r="AN28" s="680"/>
      <c r="AO28" s="680"/>
      <c r="AP28" s="680"/>
      <c r="AQ28" s="680"/>
      <c r="AR28" s="680"/>
      <c r="AS28" s="680"/>
      <c r="AT28" s="680"/>
      <c r="AU28" s="680"/>
      <c r="AV28" s="680"/>
      <c r="AW28" s="680"/>
      <c r="AX28" s="680"/>
      <c r="AY28" s="680"/>
      <c r="AZ28" s="680"/>
      <c r="BA28" s="680"/>
      <c r="BB28" s="680"/>
      <c r="BC28" s="680"/>
      <c r="BD28" s="680"/>
      <c r="BE28" s="680"/>
      <c r="BF28" s="680"/>
      <c r="BG28" s="680"/>
      <c r="BH28" s="680"/>
      <c r="BI28" s="680"/>
      <c r="BJ28" s="680"/>
      <c r="BK28" s="16"/>
    </row>
    <row r="29" spans="1:63" s="1" customFormat="1" ht="11.25" customHeight="1" x14ac:dyDescent="0.2">
      <c r="A29" s="17"/>
      <c r="B29" s="10"/>
      <c r="C29" s="10" t="s">
        <v>109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8"/>
      <c r="AF29" s="604"/>
      <c r="AG29" s="17"/>
      <c r="AH29" s="679" t="s">
        <v>158</v>
      </c>
      <c r="AI29" s="679"/>
      <c r="AJ29" s="679"/>
      <c r="AK29" s="679"/>
      <c r="AL29" s="679"/>
      <c r="AM29" s="679"/>
      <c r="AN29" s="679"/>
      <c r="AO29" s="679"/>
      <c r="AP29" s="679"/>
      <c r="AQ29" s="679"/>
      <c r="AR29" s="679"/>
      <c r="AS29" s="679"/>
      <c r="AT29" s="679"/>
      <c r="AU29" s="679"/>
      <c r="AV29" s="679"/>
      <c r="AW29" s="679"/>
      <c r="AX29" s="679"/>
      <c r="AY29" s="679"/>
      <c r="AZ29" s="679"/>
      <c r="BA29" s="679"/>
      <c r="BB29" s="679"/>
      <c r="BC29" s="679"/>
      <c r="BD29" s="679"/>
      <c r="BE29" s="679"/>
      <c r="BF29" s="679"/>
      <c r="BG29" s="679"/>
      <c r="BH29" s="679"/>
      <c r="BI29" s="679"/>
      <c r="BJ29" s="679"/>
      <c r="BK29" s="18"/>
    </row>
    <row r="30" spans="1:63" s="1" customFormat="1" ht="11.25" customHeight="1" x14ac:dyDescent="0.2">
      <c r="A30" s="17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8"/>
      <c r="AF30" s="604"/>
      <c r="AG30" s="17"/>
      <c r="AH30" s="679" t="s">
        <v>159</v>
      </c>
      <c r="AI30" s="679"/>
      <c r="AJ30" s="679"/>
      <c r="AK30" s="679"/>
      <c r="AL30" s="679"/>
      <c r="AM30" s="679"/>
      <c r="AN30" s="679"/>
      <c r="AO30" s="679"/>
      <c r="AP30" s="679"/>
      <c r="AQ30" s="679"/>
      <c r="AR30" s="679"/>
      <c r="AS30" s="679"/>
      <c r="AT30" s="679"/>
      <c r="AU30" s="679"/>
      <c r="AV30" s="679"/>
      <c r="AW30" s="679"/>
      <c r="AX30" s="679"/>
      <c r="AY30" s="679"/>
      <c r="AZ30" s="679"/>
      <c r="BA30" s="679"/>
      <c r="BB30" s="679"/>
      <c r="BC30" s="679"/>
      <c r="BD30" s="679"/>
      <c r="BE30" s="679"/>
      <c r="BF30" s="679"/>
      <c r="BG30" s="679"/>
      <c r="BH30" s="679"/>
      <c r="BI30" s="679"/>
      <c r="BJ30" s="679"/>
      <c r="BK30" s="18"/>
    </row>
    <row r="31" spans="1:63" s="1" customFormat="1" x14ac:dyDescent="0.2">
      <c r="A31" s="17"/>
      <c r="B31" s="673" t="e">
        <f>IF(BoxJ="Go to K",BoxL,"N/A")</f>
        <v>#VALUE!</v>
      </c>
      <c r="C31" s="663"/>
      <c r="D31" s="663"/>
      <c r="E31" s="663"/>
      <c r="F31" s="663"/>
      <c r="G31" s="663"/>
      <c r="H31" s="664"/>
      <c r="I31" s="10" t="s">
        <v>112</v>
      </c>
      <c r="J31" s="674" t="e">
        <f>IF(BoxJ="Go to K",BoxM,"N/A")</f>
        <v>#VALUE!</v>
      </c>
      <c r="K31" s="675"/>
      <c r="L31" s="675"/>
      <c r="M31" s="675"/>
      <c r="N31" s="675"/>
      <c r="O31" s="675"/>
      <c r="P31" s="675"/>
      <c r="Q31" s="676"/>
      <c r="R31" s="10" t="s">
        <v>60</v>
      </c>
      <c r="S31" s="622" t="s">
        <v>117</v>
      </c>
      <c r="T31" s="623"/>
      <c r="U31" s="663" t="e">
        <f>SUM(BoxL*BoxM)</f>
        <v>#VALUE!</v>
      </c>
      <c r="V31" s="663"/>
      <c r="W31" s="663"/>
      <c r="X31" s="663"/>
      <c r="Y31" s="663"/>
      <c r="Z31" s="663"/>
      <c r="AA31" s="663"/>
      <c r="AB31" s="663"/>
      <c r="AC31" s="663"/>
      <c r="AD31" s="664"/>
      <c r="AE31" s="18"/>
      <c r="AF31" s="604"/>
      <c r="AG31" s="17"/>
      <c r="AH31" s="679" t="s">
        <v>160</v>
      </c>
      <c r="AI31" s="679"/>
      <c r="AJ31" s="679"/>
      <c r="AK31" s="679"/>
      <c r="AL31" s="679"/>
      <c r="AM31" s="679"/>
      <c r="AN31" s="679"/>
      <c r="AO31" s="679"/>
      <c r="AP31" s="679"/>
      <c r="AQ31" s="679"/>
      <c r="AR31" s="679"/>
      <c r="AS31" s="679"/>
      <c r="AT31" s="679"/>
      <c r="AU31" s="679"/>
      <c r="AV31" s="679"/>
      <c r="AW31" s="679"/>
      <c r="AX31" s="679"/>
      <c r="AY31" s="679"/>
      <c r="AZ31" s="679"/>
      <c r="BA31" s="679"/>
      <c r="BB31" s="679"/>
      <c r="BC31" s="679"/>
      <c r="BD31" s="679"/>
      <c r="BE31" s="679"/>
      <c r="BF31" s="679"/>
      <c r="BG31" s="679"/>
      <c r="BH31" s="679"/>
      <c r="BI31" s="679"/>
      <c r="BJ31" s="679"/>
      <c r="BK31" s="18"/>
    </row>
    <row r="32" spans="1:63" s="1" customFormat="1" x14ac:dyDescent="0.25">
      <c r="A32" s="17"/>
      <c r="B32" s="624" t="s">
        <v>110</v>
      </c>
      <c r="C32" s="624"/>
      <c r="D32" s="624"/>
      <c r="E32" s="624"/>
      <c r="F32" s="624"/>
      <c r="G32" s="624"/>
      <c r="H32" s="624"/>
      <c r="I32" s="10"/>
      <c r="J32" s="624" t="s">
        <v>111</v>
      </c>
      <c r="K32" s="624"/>
      <c r="L32" s="624"/>
      <c r="M32" s="624"/>
      <c r="N32" s="624"/>
      <c r="O32" s="624"/>
      <c r="P32" s="624"/>
      <c r="Q32" s="624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8"/>
      <c r="AF32" s="604"/>
      <c r="AG32" s="17"/>
      <c r="AH32" s="608" t="e">
        <f>IF(BoxQ="STOP","N/A",IF(BoxQ&gt;BoxR,BoxQ,"N/A"))</f>
        <v>#VALUE!</v>
      </c>
      <c r="AI32" s="609"/>
      <c r="AJ32" s="609"/>
      <c r="AK32" s="609"/>
      <c r="AL32" s="609"/>
      <c r="AM32" s="609"/>
      <c r="AN32" s="609"/>
      <c r="AO32" s="610"/>
      <c r="AP32" s="10" t="s">
        <v>82</v>
      </c>
      <c r="AQ32" s="647" t="e">
        <f>IF(BoxQ&gt;BoxR,BoxR,"N/A")</f>
        <v>#VALUE!</v>
      </c>
      <c r="AR32" s="648"/>
      <c r="AS32" s="648"/>
      <c r="AT32" s="648"/>
      <c r="AU32" s="648"/>
      <c r="AV32" s="648"/>
      <c r="AW32" s="648"/>
      <c r="AX32" s="648"/>
      <c r="AY32" s="649"/>
      <c r="AZ32" s="10" t="s">
        <v>60</v>
      </c>
      <c r="BA32" s="650" t="s">
        <v>163</v>
      </c>
      <c r="BB32" s="651"/>
      <c r="BC32" s="648" t="e">
        <f>IF(BoxQ="STOP","N/A",(IF(BoxQ&gt;BoxR,(BoxQ-BoxR),"N/A")))</f>
        <v>#VALUE!</v>
      </c>
      <c r="BD32" s="648"/>
      <c r="BE32" s="648"/>
      <c r="BF32" s="648"/>
      <c r="BG32" s="648"/>
      <c r="BH32" s="648"/>
      <c r="BI32" s="648"/>
      <c r="BJ32" s="649"/>
      <c r="BK32" s="18"/>
    </row>
    <row r="33" spans="1:63" s="1" customFormat="1" ht="11.25" customHeight="1" x14ac:dyDescent="0.2">
      <c r="A33" s="17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8"/>
      <c r="AF33" s="604"/>
      <c r="AG33" s="17"/>
      <c r="AH33" s="659" t="s">
        <v>161</v>
      </c>
      <c r="AI33" s="659"/>
      <c r="AJ33" s="659"/>
      <c r="AK33" s="659"/>
      <c r="AL33" s="659"/>
      <c r="AM33" s="659"/>
      <c r="AN33" s="659"/>
      <c r="AO33" s="659"/>
      <c r="AP33" s="10"/>
      <c r="AQ33" s="659" t="s">
        <v>162</v>
      </c>
      <c r="AR33" s="659"/>
      <c r="AS33" s="659"/>
      <c r="AT33" s="659"/>
      <c r="AU33" s="659"/>
      <c r="AV33" s="659"/>
      <c r="AW33" s="659"/>
      <c r="AX33" s="659"/>
      <c r="AY33" s="659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8"/>
    </row>
    <row r="34" spans="1:63" s="1" customFormat="1" ht="11.25" customHeight="1" x14ac:dyDescent="0.2">
      <c r="A34" s="17"/>
      <c r="B34" s="8" t="s">
        <v>113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8"/>
      <c r="AF34" s="604"/>
      <c r="AG34" s="17"/>
      <c r="AH34" s="683" t="s">
        <v>164</v>
      </c>
      <c r="AI34" s="683"/>
      <c r="AJ34" s="683"/>
      <c r="AK34" s="683"/>
      <c r="AL34" s="683"/>
      <c r="AM34" s="683"/>
      <c r="AN34" s="683"/>
      <c r="AO34" s="683"/>
      <c r="AP34" s="683"/>
      <c r="AQ34" s="683"/>
      <c r="AR34" s="683"/>
      <c r="AS34" s="683"/>
      <c r="AT34" s="683"/>
      <c r="AU34" s="683"/>
      <c r="AV34" s="683"/>
      <c r="AW34" s="683"/>
      <c r="AX34" s="683"/>
      <c r="AY34" s="683"/>
      <c r="AZ34" s="683"/>
      <c r="BA34" s="683"/>
      <c r="BB34" s="683"/>
      <c r="BC34" s="683"/>
      <c r="BD34" s="683"/>
      <c r="BE34" s="683"/>
      <c r="BF34" s="683"/>
      <c r="BG34" s="683"/>
      <c r="BH34" s="683"/>
      <c r="BI34" s="683"/>
      <c r="BJ34" s="683"/>
      <c r="BK34" s="18"/>
    </row>
    <row r="35" spans="1:63" s="1" customFormat="1" ht="11.25" customHeight="1" x14ac:dyDescent="0.2">
      <c r="A35" s="17"/>
      <c r="B35" s="10"/>
      <c r="C35" s="10" t="s">
        <v>114</v>
      </c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8"/>
      <c r="AF35" s="604"/>
      <c r="AG35" s="17"/>
      <c r="AH35" s="679" t="s">
        <v>165</v>
      </c>
      <c r="AI35" s="679"/>
      <c r="AJ35" s="679"/>
      <c r="AK35" s="679"/>
      <c r="AL35" s="679"/>
      <c r="AM35" s="679"/>
      <c r="AN35" s="679"/>
      <c r="AO35" s="679"/>
      <c r="AP35" s="679"/>
      <c r="AQ35" s="679"/>
      <c r="AR35" s="679"/>
      <c r="AS35" s="679"/>
      <c r="AT35" s="679"/>
      <c r="AU35" s="679"/>
      <c r="AV35" s="679"/>
      <c r="AW35" s="679"/>
      <c r="AX35" s="679"/>
      <c r="AY35" s="679"/>
      <c r="AZ35" s="679"/>
      <c r="BA35" s="679"/>
      <c r="BB35" s="679"/>
      <c r="BC35" s="679"/>
      <c r="BD35" s="679"/>
      <c r="BE35" s="679"/>
      <c r="BF35" s="679"/>
      <c r="BG35" s="679"/>
      <c r="BH35" s="679"/>
      <c r="BI35" s="679"/>
      <c r="BJ35" s="679"/>
      <c r="BK35" s="18"/>
    </row>
    <row r="36" spans="1:63" s="1" customFormat="1" ht="11.25" customHeight="1" x14ac:dyDescent="0.2">
      <c r="A36" s="17"/>
      <c r="B36" s="10"/>
      <c r="C36" s="10" t="s">
        <v>115</v>
      </c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8"/>
      <c r="AF36" s="604"/>
      <c r="AG36" s="17"/>
      <c r="AH36" s="679" t="s">
        <v>166</v>
      </c>
      <c r="AI36" s="679"/>
      <c r="AJ36" s="679"/>
      <c r="AK36" s="679"/>
      <c r="AL36" s="679"/>
      <c r="AM36" s="679"/>
      <c r="AN36" s="679"/>
      <c r="AO36" s="679"/>
      <c r="AP36" s="679"/>
      <c r="AQ36" s="679"/>
      <c r="AR36" s="679"/>
      <c r="AS36" s="679"/>
      <c r="AT36" s="679"/>
      <c r="AU36" s="679"/>
      <c r="AV36" s="679"/>
      <c r="AW36" s="679"/>
      <c r="AX36" s="679"/>
      <c r="AY36" s="679"/>
      <c r="AZ36" s="679"/>
      <c r="BA36" s="679"/>
      <c r="BB36" s="679"/>
      <c r="BC36" s="679"/>
      <c r="BD36" s="679"/>
      <c r="BE36" s="679"/>
      <c r="BF36" s="679"/>
      <c r="BG36" s="679"/>
      <c r="BH36" s="679"/>
      <c r="BI36" s="679"/>
      <c r="BJ36" s="679"/>
      <c r="BK36" s="18"/>
    </row>
    <row r="37" spans="1:63" s="1" customFormat="1" x14ac:dyDescent="0.2">
      <c r="A37" s="17"/>
      <c r="B37" s="10"/>
      <c r="C37" s="10" t="s">
        <v>116</v>
      </c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622" t="s">
        <v>118</v>
      </c>
      <c r="U37" s="623"/>
      <c r="V37" s="663" t="e">
        <f>IF(BoxJ="Go to K",IF(BoxK&gt;BoxN,BoxN,BoxK),"0")</f>
        <v>#VALUE!</v>
      </c>
      <c r="W37" s="663"/>
      <c r="X37" s="663"/>
      <c r="Y37" s="663"/>
      <c r="Z37" s="663"/>
      <c r="AA37" s="663"/>
      <c r="AB37" s="663"/>
      <c r="AC37" s="664"/>
      <c r="AD37" s="10"/>
      <c r="AE37" s="18"/>
      <c r="AF37" s="604"/>
      <c r="AG37" s="17"/>
      <c r="AH37" s="679" t="s">
        <v>167</v>
      </c>
      <c r="AI37" s="679"/>
      <c r="AJ37" s="679"/>
      <c r="AK37" s="679"/>
      <c r="AL37" s="679"/>
      <c r="AM37" s="679"/>
      <c r="AN37" s="679"/>
      <c r="AO37" s="679"/>
      <c r="AP37" s="679"/>
      <c r="AQ37" s="679"/>
      <c r="AR37" s="679"/>
      <c r="AS37" s="679"/>
      <c r="AT37" s="679"/>
      <c r="AU37" s="679"/>
      <c r="AV37" s="679"/>
      <c r="AW37" s="679"/>
      <c r="AX37" s="679"/>
      <c r="AY37" s="679"/>
      <c r="AZ37" s="679"/>
      <c r="BA37" s="679"/>
      <c r="BB37" s="679"/>
      <c r="BC37" s="679"/>
      <c r="BD37" s="679"/>
      <c r="BE37" s="679"/>
      <c r="BF37" s="679"/>
      <c r="BG37" s="679"/>
      <c r="BH37" s="679"/>
      <c r="BI37" s="679"/>
      <c r="BJ37" s="679"/>
      <c r="BK37" s="18"/>
    </row>
    <row r="38" spans="1:63" s="1" customFormat="1" x14ac:dyDescent="0.25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2"/>
      <c r="AF38" s="604"/>
      <c r="AG38" s="17"/>
      <c r="AH38" s="608" t="e">
        <f>IF(BoxQ="Stop","N/A",IF(BoxQ&gt;BoxR,BoxF,"N/A"))</f>
        <v>#VALUE!</v>
      </c>
      <c r="AI38" s="609"/>
      <c r="AJ38" s="609"/>
      <c r="AK38" s="609"/>
      <c r="AL38" s="609"/>
      <c r="AM38" s="609"/>
      <c r="AN38" s="609"/>
      <c r="AO38" s="610"/>
      <c r="AP38" s="10" t="s">
        <v>82</v>
      </c>
      <c r="AQ38" s="684" t="e">
        <f>IF(BoxQ="STOP","N/A",IF(BoxQ&gt;BoxR,50%,"N/A"))</f>
        <v>#VALUE!</v>
      </c>
      <c r="AR38" s="685"/>
      <c r="AS38" s="685"/>
      <c r="AT38" s="685"/>
      <c r="AU38" s="685"/>
      <c r="AV38" s="685"/>
      <c r="AW38" s="685"/>
      <c r="AX38" s="685"/>
      <c r="AY38" s="686"/>
      <c r="AZ38" s="10" t="s">
        <v>60</v>
      </c>
      <c r="BA38" s="650" t="s">
        <v>169</v>
      </c>
      <c r="BB38" s="651"/>
      <c r="BC38" s="648" t="e">
        <f>IF(BoxQ="STOP","N/A",IF(BoxQ&gt;BoxR,BoxF*$AQ$38,"N/A"))</f>
        <v>#VALUE!</v>
      </c>
      <c r="BD38" s="648"/>
      <c r="BE38" s="648"/>
      <c r="BF38" s="648"/>
      <c r="BG38" s="648"/>
      <c r="BH38" s="648"/>
      <c r="BI38" s="648"/>
      <c r="BJ38" s="649"/>
      <c r="BK38" s="18"/>
    </row>
    <row r="39" spans="1:63" s="1" customFormat="1" ht="11.25" customHeight="1" x14ac:dyDescent="0.2">
      <c r="A39" s="665" t="s">
        <v>134</v>
      </c>
      <c r="B39" s="666"/>
      <c r="C39" s="666"/>
      <c r="D39" s="666"/>
      <c r="E39" s="666"/>
      <c r="F39" s="666"/>
      <c r="G39" s="666"/>
      <c r="H39" s="666"/>
      <c r="I39" s="666"/>
      <c r="J39" s="666"/>
      <c r="K39" s="666"/>
      <c r="L39" s="666"/>
      <c r="M39" s="666"/>
      <c r="N39" s="666"/>
      <c r="O39" s="666"/>
      <c r="P39" s="666"/>
      <c r="Q39" s="666"/>
      <c r="R39" s="666"/>
      <c r="S39" s="666"/>
      <c r="T39" s="666"/>
      <c r="U39" s="666"/>
      <c r="V39" s="666"/>
      <c r="W39" s="666"/>
      <c r="X39" s="666"/>
      <c r="Y39" s="666"/>
      <c r="Z39" s="666"/>
      <c r="AA39" s="666"/>
      <c r="AB39" s="666"/>
      <c r="AC39" s="666"/>
      <c r="AD39" s="666"/>
      <c r="AE39" s="667"/>
      <c r="AF39" s="604"/>
      <c r="AG39" s="17"/>
      <c r="AH39" s="659" t="s">
        <v>168</v>
      </c>
      <c r="AI39" s="659"/>
      <c r="AJ39" s="659"/>
      <c r="AK39" s="659"/>
      <c r="AL39" s="659"/>
      <c r="AM39" s="659"/>
      <c r="AN39" s="659"/>
      <c r="AO39" s="659"/>
      <c r="AP39" s="10"/>
      <c r="AQ39" s="659"/>
      <c r="AR39" s="659"/>
      <c r="AS39" s="659"/>
      <c r="AT39" s="659"/>
      <c r="AU39" s="659"/>
      <c r="AV39" s="659"/>
      <c r="AW39" s="659"/>
      <c r="AX39" s="659"/>
      <c r="AY39" s="659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8"/>
    </row>
    <row r="40" spans="1:63" s="1" customFormat="1" ht="11.25" customHeight="1" x14ac:dyDescent="0.2">
      <c r="A40" s="1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16"/>
      <c r="AF40" s="604"/>
      <c r="AG40" s="17"/>
      <c r="AH40" s="683" t="s">
        <v>170</v>
      </c>
      <c r="AI40" s="683"/>
      <c r="AJ40" s="683"/>
      <c r="AK40" s="683"/>
      <c r="AL40" s="683"/>
      <c r="AM40" s="683"/>
      <c r="AN40" s="683"/>
      <c r="AO40" s="683"/>
      <c r="AP40" s="683"/>
      <c r="AQ40" s="683"/>
      <c r="AR40" s="683"/>
      <c r="AS40" s="683"/>
      <c r="AT40" s="683"/>
      <c r="AU40" s="683"/>
      <c r="AV40" s="683"/>
      <c r="AW40" s="683"/>
      <c r="AX40" s="683"/>
      <c r="AY40" s="683"/>
      <c r="AZ40" s="683"/>
      <c r="BA40" s="683"/>
      <c r="BB40" s="683"/>
      <c r="BC40" s="683"/>
      <c r="BD40" s="683"/>
      <c r="BE40" s="683"/>
      <c r="BF40" s="683"/>
      <c r="BG40" s="683"/>
      <c r="BH40" s="683"/>
      <c r="BI40" s="683"/>
      <c r="BJ40" s="683"/>
      <c r="BK40" s="18"/>
    </row>
    <row r="41" spans="1:63" s="1" customFormat="1" ht="11.25" customHeight="1" x14ac:dyDescent="0.2">
      <c r="A41" s="17"/>
      <c r="B41" s="10" t="s">
        <v>119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8"/>
      <c r="AF41" s="604"/>
      <c r="AG41" s="17"/>
      <c r="AH41" s="678" t="s">
        <v>171</v>
      </c>
      <c r="AI41" s="678"/>
      <c r="AJ41" s="678"/>
      <c r="AK41" s="678"/>
      <c r="AL41" s="678"/>
      <c r="AM41" s="678"/>
      <c r="AN41" s="678"/>
      <c r="AO41" s="678"/>
      <c r="AP41" s="678"/>
      <c r="AQ41" s="678"/>
      <c r="AR41" s="678"/>
      <c r="AS41" s="678"/>
      <c r="AT41" s="678"/>
      <c r="AU41" s="678"/>
      <c r="AV41" s="678"/>
      <c r="AW41" s="678"/>
      <c r="AX41" s="678"/>
      <c r="AY41" s="678"/>
      <c r="AZ41" s="678"/>
      <c r="BA41" s="678"/>
      <c r="BB41" s="678"/>
      <c r="BC41" s="678"/>
      <c r="BD41" s="678"/>
      <c r="BE41" s="678"/>
      <c r="BF41" s="678"/>
      <c r="BG41" s="678"/>
      <c r="BH41" s="678"/>
      <c r="BI41" s="678"/>
      <c r="BJ41" s="678"/>
      <c r="BK41" s="18"/>
    </row>
    <row r="42" spans="1:63" s="1" customFormat="1" ht="11.25" customHeight="1" x14ac:dyDescent="0.2">
      <c r="A42" s="17"/>
      <c r="B42" s="10" t="s">
        <v>120</v>
      </c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8"/>
      <c r="AF42" s="604"/>
      <c r="AG42" s="17"/>
      <c r="AH42" s="678" t="s">
        <v>172</v>
      </c>
      <c r="AI42" s="678"/>
      <c r="AJ42" s="678"/>
      <c r="AK42" s="678"/>
      <c r="AL42" s="678"/>
      <c r="AM42" s="678"/>
      <c r="AN42" s="678"/>
      <c r="AO42" s="678"/>
      <c r="AP42" s="678"/>
      <c r="AQ42" s="678"/>
      <c r="AR42" s="678"/>
      <c r="AS42" s="678"/>
      <c r="AT42" s="678"/>
      <c r="AU42" s="678"/>
      <c r="AV42" s="678"/>
      <c r="AW42" s="678"/>
      <c r="AX42" s="678"/>
      <c r="AY42" s="678"/>
      <c r="AZ42" s="678"/>
      <c r="BA42" s="678"/>
      <c r="BB42" s="678"/>
      <c r="BC42" s="678"/>
      <c r="BD42" s="678"/>
      <c r="BE42" s="678"/>
      <c r="BF42" s="678"/>
      <c r="BG42" s="678"/>
      <c r="BH42" s="678"/>
      <c r="BI42" s="678"/>
      <c r="BJ42" s="678"/>
      <c r="BK42" s="18"/>
    </row>
    <row r="43" spans="1:63" s="1" customFormat="1" ht="11.25" customHeight="1" x14ac:dyDescent="0.2">
      <c r="A43" s="17"/>
      <c r="B43" s="10" t="s">
        <v>121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8"/>
      <c r="AF43" s="604"/>
      <c r="AG43" s="17"/>
      <c r="AH43" s="621" t="s">
        <v>173</v>
      </c>
      <c r="AI43" s="621"/>
      <c r="AJ43" s="621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AX43" s="621"/>
      <c r="AY43" s="621"/>
      <c r="AZ43" s="621"/>
      <c r="BA43" s="621"/>
      <c r="BB43" s="621"/>
      <c r="BC43" s="621"/>
      <c r="BD43" s="621"/>
      <c r="BE43" s="621"/>
      <c r="BF43" s="621"/>
      <c r="BG43" s="621"/>
      <c r="BH43" s="621"/>
      <c r="BI43" s="621"/>
      <c r="BJ43" s="621"/>
      <c r="BK43" s="18"/>
    </row>
    <row r="44" spans="1:63" s="1" customFormat="1" x14ac:dyDescent="0.25">
      <c r="A44" s="17"/>
      <c r="B44" s="10" t="s">
        <v>122</v>
      </c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8"/>
      <c r="AF44" s="604"/>
      <c r="AG44" s="17"/>
      <c r="AH44" s="608" t="e">
        <f>IF(BoxQ="STOP","N/A",IF(BoxQ&gt;BoxR,BoxS,"N/A"))</f>
        <v>#VALUE!</v>
      </c>
      <c r="AI44" s="609"/>
      <c r="AJ44" s="609"/>
      <c r="AK44" s="609"/>
      <c r="AL44" s="609"/>
      <c r="AM44" s="609"/>
      <c r="AN44" s="609"/>
      <c r="AO44" s="610"/>
      <c r="AP44" s="10" t="s">
        <v>82</v>
      </c>
      <c r="AQ44" s="647" t="e">
        <f>IF(BoxQ="STOP","N/A",IF(BoxQ&gt;BoxR,BoxT,"N/A"))</f>
        <v>#VALUE!</v>
      </c>
      <c r="AR44" s="648"/>
      <c r="AS44" s="648"/>
      <c r="AT44" s="648"/>
      <c r="AU44" s="648"/>
      <c r="AV44" s="648"/>
      <c r="AW44" s="648"/>
      <c r="AX44" s="648"/>
      <c r="AY44" s="649"/>
      <c r="AZ44" s="10" t="s">
        <v>60</v>
      </c>
      <c r="BA44" s="650" t="s">
        <v>176</v>
      </c>
      <c r="BB44" s="651"/>
      <c r="BC44" s="648" t="e">
        <f>IF(BoxS&lt;BoxT,"STOP",IF(BoxQ="STOP","N/A",IF(BoxQ&gt;BoxR,(BoxS-BoxT),"N/A")))</f>
        <v>#VALUE!</v>
      </c>
      <c r="BD44" s="648"/>
      <c r="BE44" s="648"/>
      <c r="BF44" s="648"/>
      <c r="BG44" s="648"/>
      <c r="BH44" s="648"/>
      <c r="BI44" s="648"/>
      <c r="BJ44" s="649"/>
      <c r="BK44" s="18"/>
    </row>
    <row r="45" spans="1:63" s="1" customFormat="1" ht="11.25" customHeight="1" x14ac:dyDescent="0.2">
      <c r="A45" s="17"/>
      <c r="B45" s="655" t="s">
        <v>124</v>
      </c>
      <c r="C45" s="655"/>
      <c r="D45" s="655"/>
      <c r="E45" s="655"/>
      <c r="F45" s="655"/>
      <c r="G45" s="655"/>
      <c r="H45" s="655"/>
      <c r="I45" s="655"/>
      <c r="J45" s="655"/>
      <c r="K45" s="655"/>
      <c r="L45" s="655"/>
      <c r="M45" s="655"/>
      <c r="N45" s="655"/>
      <c r="O45" s="655"/>
      <c r="P45" s="655"/>
      <c r="Q45" s="655"/>
      <c r="R45" s="655"/>
      <c r="S45" s="10"/>
      <c r="T45" s="10"/>
      <c r="U45" s="658" t="s">
        <v>125</v>
      </c>
      <c r="V45" s="658"/>
      <c r="W45" s="658"/>
      <c r="X45" s="658"/>
      <c r="Y45" s="658"/>
      <c r="Z45" s="658"/>
      <c r="AA45" s="658"/>
      <c r="AB45" s="658"/>
      <c r="AC45" s="658"/>
      <c r="AD45" s="658"/>
      <c r="AE45" s="18"/>
      <c r="AF45" s="604"/>
      <c r="AG45" s="17"/>
      <c r="AH45" s="659" t="s">
        <v>174</v>
      </c>
      <c r="AI45" s="659"/>
      <c r="AJ45" s="659"/>
      <c r="AK45" s="659"/>
      <c r="AL45" s="659"/>
      <c r="AM45" s="659"/>
      <c r="AN45" s="659"/>
      <c r="AO45" s="659"/>
      <c r="AP45" s="10"/>
      <c r="AQ45" s="659" t="s">
        <v>175</v>
      </c>
      <c r="AR45" s="659"/>
      <c r="AS45" s="659"/>
      <c r="AT45" s="659"/>
      <c r="AU45" s="659"/>
      <c r="AV45" s="659"/>
      <c r="AW45" s="659"/>
      <c r="AX45" s="659"/>
      <c r="AY45" s="659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8"/>
    </row>
    <row r="46" spans="1:63" s="1" customFormat="1" ht="11.25" customHeight="1" x14ac:dyDescent="0.2">
      <c r="A46" s="17"/>
      <c r="B46" s="656" t="s">
        <v>126</v>
      </c>
      <c r="C46" s="656"/>
      <c r="D46" s="656"/>
      <c r="E46" s="656"/>
      <c r="F46" s="656"/>
      <c r="G46" s="656"/>
      <c r="H46" s="656"/>
      <c r="I46" s="656"/>
      <c r="J46" s="656"/>
      <c r="K46" s="656"/>
      <c r="L46" s="656"/>
      <c r="M46" s="656"/>
      <c r="N46" s="656"/>
      <c r="O46" s="656"/>
      <c r="P46" s="656"/>
      <c r="Q46" s="656"/>
      <c r="R46" s="656"/>
      <c r="S46" s="21"/>
      <c r="T46" s="21"/>
      <c r="U46" s="652" t="e">
        <f>IF(PercentComplete&gt;=60%,0,IF(BoxJ="Go to K",IF(Unsub1=0,0,IF(Unsub1&lt;BoxO,Unsub1,BoxO)),0))</f>
        <v>#VALUE!</v>
      </c>
      <c r="V46" s="653"/>
      <c r="W46" s="653"/>
      <c r="X46" s="653"/>
      <c r="Y46" s="653"/>
      <c r="Z46" s="653"/>
      <c r="AA46" s="653"/>
      <c r="AB46" s="653"/>
      <c r="AC46" s="653"/>
      <c r="AD46" s="654"/>
      <c r="AE46" s="18"/>
      <c r="AF46" s="604"/>
      <c r="AG46" s="20"/>
      <c r="AH46" s="662" t="s">
        <v>177</v>
      </c>
      <c r="AI46" s="662"/>
      <c r="AJ46" s="662"/>
      <c r="AK46" s="662"/>
      <c r="AL46" s="662"/>
      <c r="AM46" s="662"/>
      <c r="AN46" s="662"/>
      <c r="AO46" s="662"/>
      <c r="AP46" s="662"/>
      <c r="AQ46" s="662"/>
      <c r="AR46" s="662"/>
      <c r="AS46" s="662"/>
      <c r="AT46" s="662"/>
      <c r="AU46" s="662"/>
      <c r="AV46" s="662"/>
      <c r="AW46" s="662"/>
      <c r="AX46" s="662"/>
      <c r="AY46" s="662"/>
      <c r="AZ46" s="662"/>
      <c r="BA46" s="662"/>
      <c r="BB46" s="662"/>
      <c r="BC46" s="662"/>
      <c r="BD46" s="662"/>
      <c r="BE46" s="662"/>
      <c r="BF46" s="662"/>
      <c r="BG46" s="662"/>
      <c r="BH46" s="662"/>
      <c r="BI46" s="662"/>
      <c r="BJ46" s="662"/>
      <c r="BK46" s="22"/>
    </row>
    <row r="47" spans="1:63" s="1" customFormat="1" ht="11.25" customHeight="1" x14ac:dyDescent="0.2">
      <c r="A47" s="17"/>
      <c r="B47" s="656" t="s">
        <v>127</v>
      </c>
      <c r="C47" s="656"/>
      <c r="D47" s="656"/>
      <c r="E47" s="656"/>
      <c r="F47" s="656"/>
      <c r="G47" s="656"/>
      <c r="H47" s="656"/>
      <c r="I47" s="656"/>
      <c r="J47" s="656"/>
      <c r="K47" s="656"/>
      <c r="L47" s="656"/>
      <c r="M47" s="656"/>
      <c r="N47" s="656"/>
      <c r="O47" s="656"/>
      <c r="P47" s="656"/>
      <c r="Q47" s="656"/>
      <c r="R47" s="656"/>
      <c r="S47" s="21"/>
      <c r="T47" s="21"/>
      <c r="U47" s="652" t="e">
        <f>IF(PercentComplete&gt;=60%,0,IF(BoxJ="Go to K",IF(SubLoan1=0,0,IF((BoxO-$U$46)&gt;SubLoan1,SubLoan1,(BoxO-$U$46))),0))</f>
        <v>#VALUE!</v>
      </c>
      <c r="V47" s="653"/>
      <c r="W47" s="653"/>
      <c r="X47" s="653"/>
      <c r="Y47" s="653"/>
      <c r="Z47" s="653"/>
      <c r="AA47" s="653"/>
      <c r="AB47" s="653"/>
      <c r="AC47" s="653"/>
      <c r="AD47" s="654"/>
      <c r="AE47" s="18"/>
      <c r="AF47" s="604"/>
      <c r="AG47" s="605" t="s">
        <v>178</v>
      </c>
      <c r="AH47" s="606"/>
      <c r="AI47" s="606"/>
      <c r="AJ47" s="606"/>
      <c r="AK47" s="606"/>
      <c r="AL47" s="606"/>
      <c r="AM47" s="606"/>
      <c r="AN47" s="606"/>
      <c r="AO47" s="606"/>
      <c r="AP47" s="606"/>
      <c r="AQ47" s="606"/>
      <c r="AR47" s="606"/>
      <c r="AS47" s="606"/>
      <c r="AT47" s="606"/>
      <c r="AU47" s="606"/>
      <c r="AV47" s="606"/>
      <c r="AW47" s="606"/>
      <c r="AX47" s="606"/>
      <c r="AY47" s="606"/>
      <c r="AZ47" s="606"/>
      <c r="BA47" s="606"/>
      <c r="BB47" s="606"/>
      <c r="BC47" s="606"/>
      <c r="BD47" s="606"/>
      <c r="BE47" s="606"/>
      <c r="BF47" s="606"/>
      <c r="BG47" s="606"/>
      <c r="BH47" s="606"/>
      <c r="BI47" s="606"/>
      <c r="BJ47" s="606"/>
      <c r="BK47" s="607"/>
    </row>
    <row r="48" spans="1:63" s="1" customFormat="1" ht="11.25" customHeight="1" x14ac:dyDescent="0.2">
      <c r="A48" s="17"/>
      <c r="B48" s="656" t="s">
        <v>128</v>
      </c>
      <c r="C48" s="656"/>
      <c r="D48" s="656"/>
      <c r="E48" s="656"/>
      <c r="F48" s="656"/>
      <c r="G48" s="656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21"/>
      <c r="T48" s="21"/>
      <c r="U48" s="652" t="e">
        <f>IF(PercentComplete&gt;=60%,0,IF(BoxJ="Go to K",IF(Perk1=0,0,IF((BoxO-$U$46-$U$47)&gt;Perk1,Perk1,(BoxO-$U$46-$U$47))),0))</f>
        <v>#VALUE!</v>
      </c>
      <c r="V48" s="653"/>
      <c r="W48" s="653"/>
      <c r="X48" s="653"/>
      <c r="Y48" s="653"/>
      <c r="Z48" s="653"/>
      <c r="AA48" s="653"/>
      <c r="AB48" s="653"/>
      <c r="AC48" s="653"/>
      <c r="AD48" s="654"/>
      <c r="AE48" s="18"/>
      <c r="AF48" s="23"/>
      <c r="AG48" s="15"/>
      <c r="AH48" s="620" t="s">
        <v>179</v>
      </c>
      <c r="AI48" s="620"/>
      <c r="AJ48" s="620"/>
      <c r="AK48" s="620"/>
      <c r="AL48" s="620"/>
      <c r="AM48" s="620"/>
      <c r="AN48" s="620"/>
      <c r="AO48" s="620"/>
      <c r="AP48" s="620"/>
      <c r="AQ48" s="620"/>
      <c r="AR48" s="620"/>
      <c r="AS48" s="620"/>
      <c r="AT48" s="620"/>
      <c r="AU48" s="620"/>
      <c r="AV48" s="620"/>
      <c r="AW48" s="620"/>
      <c r="AX48" s="620"/>
      <c r="AY48" s="620"/>
      <c r="AZ48" s="620"/>
      <c r="BA48" s="620"/>
      <c r="BB48" s="620"/>
      <c r="BC48" s="620"/>
      <c r="BD48" s="620"/>
      <c r="BE48" s="620"/>
      <c r="BF48" s="620"/>
      <c r="BG48" s="620"/>
      <c r="BH48" s="620"/>
      <c r="BI48" s="620"/>
      <c r="BJ48" s="620"/>
      <c r="BK48" s="681"/>
    </row>
    <row r="49" spans="1:63" s="1" customFormat="1" ht="11.25" customHeight="1" x14ac:dyDescent="0.2">
      <c r="A49" s="17"/>
      <c r="B49" s="656" t="s">
        <v>129</v>
      </c>
      <c r="C49" s="656"/>
      <c r="D49" s="656"/>
      <c r="E49" s="656"/>
      <c r="F49" s="656"/>
      <c r="G49" s="656"/>
      <c r="H49" s="656"/>
      <c r="I49" s="656"/>
      <c r="J49" s="656"/>
      <c r="K49" s="656"/>
      <c r="L49" s="656"/>
      <c r="M49" s="656"/>
      <c r="N49" s="656"/>
      <c r="O49" s="656"/>
      <c r="P49" s="656"/>
      <c r="Q49" s="656"/>
      <c r="R49" s="656"/>
      <c r="S49" s="21"/>
      <c r="T49" s="21"/>
      <c r="U49" s="652" t="e">
        <f>IF(PercentComplete&gt;=60%,0,IF(BoxJ="Go to K",IF(GPLUS1=0,0,IF((BoxO-$U$46-$U$47-$U$48)&gt;GPLUS1,GPLUS1,(BoxO-$U$46-$U$47-$U$48))),0))</f>
        <v>#VALUE!</v>
      </c>
      <c r="V49" s="653"/>
      <c r="W49" s="653"/>
      <c r="X49" s="653"/>
      <c r="Y49" s="653"/>
      <c r="Z49" s="653"/>
      <c r="AA49" s="653"/>
      <c r="AB49" s="653"/>
      <c r="AC49" s="653"/>
      <c r="AD49" s="654"/>
      <c r="AE49" s="18"/>
      <c r="AF49" s="23"/>
      <c r="AG49" s="17"/>
      <c r="AH49" s="621" t="s">
        <v>180</v>
      </c>
      <c r="AI49" s="621"/>
      <c r="AJ49" s="621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621"/>
      <c r="AX49" s="621"/>
      <c r="AY49" s="621"/>
      <c r="AZ49" s="621"/>
      <c r="BA49" s="621"/>
      <c r="BB49" s="621"/>
      <c r="BC49" s="621"/>
      <c r="BD49" s="621"/>
      <c r="BE49" s="621"/>
      <c r="BF49" s="621"/>
      <c r="BG49" s="621"/>
      <c r="BH49" s="621"/>
      <c r="BI49" s="621"/>
      <c r="BJ49" s="621"/>
      <c r="BK49" s="682"/>
    </row>
    <row r="50" spans="1:63" s="1" customFormat="1" ht="11.25" customHeight="1" x14ac:dyDescent="0.2">
      <c r="A50" s="17"/>
      <c r="B50" s="656" t="s">
        <v>130</v>
      </c>
      <c r="C50" s="656"/>
      <c r="D50" s="656"/>
      <c r="E50" s="656"/>
      <c r="F50" s="656"/>
      <c r="G50" s="656"/>
      <c r="H50" s="656"/>
      <c r="I50" s="656"/>
      <c r="J50" s="656"/>
      <c r="K50" s="656"/>
      <c r="L50" s="656"/>
      <c r="M50" s="656"/>
      <c r="N50" s="656"/>
      <c r="O50" s="656"/>
      <c r="P50" s="656"/>
      <c r="Q50" s="656"/>
      <c r="R50" s="656"/>
      <c r="S50" s="21"/>
      <c r="T50" s="21"/>
      <c r="U50" s="652" t="e">
        <f>IF(PercentComplete&gt;=60%,0,IF(BoxJ="Go to K",IF(PPlus1=0,0,IF((BoxO-$U$46-$U$47-$U$48-$U$49)&gt;PPlus1,PPlus1,(BoxO-$U$46-$U$47-$U$48-$U$49))),0))</f>
        <v>#VALUE!</v>
      </c>
      <c r="V50" s="653"/>
      <c r="W50" s="653"/>
      <c r="X50" s="653"/>
      <c r="Y50" s="653"/>
      <c r="Z50" s="653"/>
      <c r="AA50" s="653"/>
      <c r="AB50" s="653"/>
      <c r="AC50" s="653"/>
      <c r="AD50" s="654"/>
      <c r="AE50" s="18"/>
      <c r="AF50" s="23"/>
      <c r="AG50" s="17"/>
      <c r="AH50" s="621" t="s">
        <v>181</v>
      </c>
      <c r="AI50" s="621"/>
      <c r="AJ50" s="621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621"/>
      <c r="AX50" s="621"/>
      <c r="AY50" s="621"/>
      <c r="AZ50" s="621"/>
      <c r="BA50" s="621"/>
      <c r="BB50" s="621"/>
      <c r="BC50" s="621"/>
      <c r="BD50" s="621"/>
      <c r="BE50" s="621"/>
      <c r="BF50" s="621"/>
      <c r="BG50" s="621"/>
      <c r="BH50" s="621"/>
      <c r="BI50" s="621"/>
      <c r="BJ50" s="621"/>
      <c r="BK50" s="30"/>
    </row>
    <row r="51" spans="1:63" s="1" customFormat="1" ht="11.25" customHeight="1" x14ac:dyDescent="0.2">
      <c r="A51" s="17"/>
      <c r="B51" s="657" t="s">
        <v>131</v>
      </c>
      <c r="C51" s="657"/>
      <c r="D51" s="657"/>
      <c r="E51" s="657"/>
      <c r="F51" s="657"/>
      <c r="G51" s="657"/>
      <c r="H51" s="657"/>
      <c r="I51" s="657"/>
      <c r="J51" s="657"/>
      <c r="K51" s="657"/>
      <c r="L51" s="657"/>
      <c r="M51" s="657"/>
      <c r="N51" s="657"/>
      <c r="O51" s="657"/>
      <c r="P51" s="657"/>
      <c r="Q51" s="657"/>
      <c r="R51" s="657"/>
      <c r="S51" s="21" t="s">
        <v>60</v>
      </c>
      <c r="T51" s="650" t="s">
        <v>123</v>
      </c>
      <c r="U51" s="651"/>
      <c r="V51" s="653" t="e">
        <f>SUM(U46:AD50)</f>
        <v>#VALUE!</v>
      </c>
      <c r="W51" s="653"/>
      <c r="X51" s="653"/>
      <c r="Y51" s="653"/>
      <c r="Z51" s="653"/>
      <c r="AA51" s="653"/>
      <c r="AB51" s="653"/>
      <c r="AC51" s="653"/>
      <c r="AD51" s="654"/>
      <c r="AE51" s="18"/>
      <c r="AF51" s="23"/>
      <c r="AG51" s="17"/>
      <c r="AH51" s="621" t="s">
        <v>182</v>
      </c>
      <c r="AI51" s="621"/>
      <c r="AJ51" s="621"/>
      <c r="AK51" s="621"/>
      <c r="AL51" s="621"/>
      <c r="AM51" s="621"/>
      <c r="AN51" s="621"/>
      <c r="AO51" s="621"/>
      <c r="AP51" s="621"/>
      <c r="AQ51" s="621"/>
      <c r="AR51" s="621"/>
      <c r="AS51" s="621"/>
      <c r="AT51" s="621"/>
      <c r="AU51" s="621"/>
      <c r="AV51" s="621"/>
      <c r="AW51" s="621"/>
      <c r="AX51" s="621"/>
      <c r="AY51" s="621"/>
      <c r="AZ51" s="621"/>
      <c r="BA51" s="621"/>
      <c r="BB51" s="621"/>
      <c r="BC51" s="621"/>
      <c r="BD51" s="621"/>
      <c r="BE51" s="621"/>
      <c r="BF51" s="621"/>
      <c r="BG51" s="621"/>
      <c r="BH51" s="621"/>
      <c r="BI51" s="621"/>
      <c r="BJ51" s="621"/>
      <c r="BK51" s="30"/>
    </row>
    <row r="52" spans="1:63" s="1" customFormat="1" ht="11.25" customHeight="1" x14ac:dyDescent="0.2">
      <c r="A52" s="17"/>
      <c r="B52" s="656" t="s">
        <v>132</v>
      </c>
      <c r="C52" s="656"/>
      <c r="D52" s="656"/>
      <c r="E52" s="656"/>
      <c r="F52" s="656"/>
      <c r="G52" s="656"/>
      <c r="H52" s="656"/>
      <c r="I52" s="656"/>
      <c r="J52" s="656"/>
      <c r="K52" s="656"/>
      <c r="L52" s="656"/>
      <c r="M52" s="656"/>
      <c r="N52" s="656"/>
      <c r="O52" s="656"/>
      <c r="P52" s="656"/>
      <c r="Q52" s="656"/>
      <c r="R52" s="656"/>
      <c r="S52" s="21"/>
      <c r="T52" s="21"/>
      <c r="U52" s="652" t="e">
        <f>IF(PercentComplete&gt;=60%,0,IF(Pell1=0,0,IF((BoxO-$U$46-$U$47-$U$48-$U$49-$U$50)&gt;Pell1,Pell1,(BoxO-$U$46-$U$47-$U$48-$U$49-$U$50))))</f>
        <v>#VALUE!</v>
      </c>
      <c r="V52" s="653"/>
      <c r="W52" s="653"/>
      <c r="X52" s="653"/>
      <c r="Y52" s="653"/>
      <c r="Z52" s="653"/>
      <c r="AA52" s="653"/>
      <c r="AB52" s="653"/>
      <c r="AC52" s="653"/>
      <c r="AD52" s="654"/>
      <c r="AE52" s="18"/>
      <c r="AF52" s="23"/>
      <c r="AG52" s="17"/>
      <c r="AH52" s="621" t="s">
        <v>183</v>
      </c>
      <c r="AI52" s="621"/>
      <c r="AJ52" s="621"/>
      <c r="AK52" s="621"/>
      <c r="AL52" s="621"/>
      <c r="AM52" s="621"/>
      <c r="AN52" s="621"/>
      <c r="AO52" s="621"/>
      <c r="AP52" s="621"/>
      <c r="AQ52" s="621"/>
      <c r="AR52" s="621"/>
      <c r="AS52" s="621"/>
      <c r="AT52" s="621"/>
      <c r="AU52" s="621"/>
      <c r="AV52" s="621"/>
      <c r="AW52" s="621"/>
      <c r="AX52" s="621"/>
      <c r="AY52" s="621"/>
      <c r="AZ52" s="621"/>
      <c r="BA52" s="621"/>
      <c r="BB52" s="621"/>
      <c r="BC52" s="621"/>
      <c r="BD52" s="621"/>
      <c r="BE52" s="621"/>
      <c r="BF52" s="621"/>
      <c r="BG52" s="621"/>
      <c r="BH52" s="621"/>
      <c r="BI52" s="621"/>
      <c r="BJ52" s="19"/>
      <c r="BK52" s="30"/>
    </row>
    <row r="53" spans="1:63" s="1" customFormat="1" ht="11.25" customHeight="1" x14ac:dyDescent="0.2">
      <c r="A53" s="17"/>
      <c r="B53" s="640" t="s">
        <v>191</v>
      </c>
      <c r="C53" s="640"/>
      <c r="D53" s="640"/>
      <c r="E53" s="640"/>
      <c r="F53" s="640"/>
      <c r="G53" s="640"/>
      <c r="H53" s="640"/>
      <c r="I53" s="640"/>
      <c r="J53" s="640"/>
      <c r="K53" s="640"/>
      <c r="L53" s="640"/>
      <c r="M53" s="640"/>
      <c r="N53" s="640"/>
      <c r="O53" s="640"/>
      <c r="P53" s="640"/>
      <c r="Q53" s="640"/>
      <c r="R53" s="640"/>
      <c r="S53" s="21"/>
      <c r="T53" s="21"/>
      <c r="U53" s="652" t="e">
        <f>IF(PercentComplete&gt;=60%,0,IF(IRAQ1=0,0,IF((BoxO-$U$46-$U$47-$U$48-$U$49-$U$50-$U$52)&gt;IRAQ1,iraw1,(BoxO-$U$46-$U$47-$U$48-$U$49-$U$50-$U$52))))</f>
        <v>#VALUE!</v>
      </c>
      <c r="V53" s="653"/>
      <c r="W53" s="653"/>
      <c r="X53" s="653"/>
      <c r="Y53" s="653"/>
      <c r="Z53" s="653"/>
      <c r="AA53" s="653"/>
      <c r="AB53" s="653"/>
      <c r="AC53" s="653"/>
      <c r="AD53" s="654"/>
      <c r="AE53" s="18"/>
      <c r="AF53" s="23"/>
      <c r="AG53" s="17"/>
      <c r="AH53" s="691" t="s">
        <v>184</v>
      </c>
      <c r="AI53" s="691"/>
      <c r="AJ53" s="691"/>
      <c r="AK53" s="691"/>
      <c r="AL53" s="691"/>
      <c r="AM53" s="691"/>
      <c r="AN53" s="691"/>
      <c r="AO53" s="691"/>
      <c r="AP53" s="691"/>
      <c r="AQ53" s="691"/>
      <c r="AR53" s="691"/>
      <c r="AS53" s="691"/>
      <c r="AT53" s="691"/>
      <c r="AU53" s="691"/>
      <c r="AV53" s="691"/>
      <c r="AW53" s="691"/>
      <c r="AX53" s="691"/>
      <c r="AY53" s="691"/>
      <c r="AZ53" s="691"/>
      <c r="BA53" s="691"/>
      <c r="BB53" s="691"/>
      <c r="BC53" s="691"/>
      <c r="BD53" s="691"/>
      <c r="BE53" s="691"/>
      <c r="BF53" s="691"/>
      <c r="BG53" s="691"/>
      <c r="BH53" s="691"/>
      <c r="BI53" s="691"/>
      <c r="BJ53" s="19"/>
      <c r="BK53" s="30"/>
    </row>
    <row r="54" spans="1:63" s="1" customFormat="1" ht="11.25" customHeight="1" x14ac:dyDescent="0.2">
      <c r="A54" s="17"/>
      <c r="B54" s="640" t="s">
        <v>192</v>
      </c>
      <c r="C54" s="640"/>
      <c r="D54" s="640"/>
      <c r="E54" s="640"/>
      <c r="F54" s="640"/>
      <c r="G54" s="640"/>
      <c r="H54" s="640"/>
      <c r="I54" s="640"/>
      <c r="J54" s="640"/>
      <c r="K54" s="640"/>
      <c r="L54" s="640"/>
      <c r="M54" s="640"/>
      <c r="N54" s="640"/>
      <c r="O54" s="640"/>
      <c r="P54" s="640"/>
      <c r="Q54" s="640"/>
      <c r="R54" s="640"/>
      <c r="S54" s="21"/>
      <c r="T54" s="21"/>
      <c r="U54" s="652" t="e">
        <f>IF(PercentComplete&gt;=60%,0,IF(SMART1=0,0,IF((BoxO-$U$46-$U$47-$U$48-$U$49-$U$50-$U$52-$U$53)&gt;SMART1,SMART1,(BoxO-$U$46-$U$47-$U$48-$U$49-$U$50-$U$52-$U$53))))</f>
        <v>#VALUE!</v>
      </c>
      <c r="V54" s="653"/>
      <c r="W54" s="653"/>
      <c r="X54" s="653"/>
      <c r="Y54" s="653"/>
      <c r="Z54" s="653"/>
      <c r="AA54" s="653"/>
      <c r="AB54" s="653"/>
      <c r="AC54" s="653"/>
      <c r="AD54" s="654"/>
      <c r="AE54" s="18"/>
      <c r="AF54" s="23"/>
      <c r="AG54" s="17"/>
      <c r="AH54" s="691" t="s">
        <v>185</v>
      </c>
      <c r="AI54" s="691"/>
      <c r="AJ54" s="691"/>
      <c r="AK54" s="691"/>
      <c r="AL54" s="691"/>
      <c r="AM54" s="691"/>
      <c r="AN54" s="691"/>
      <c r="AO54" s="691"/>
      <c r="AP54" s="691"/>
      <c r="AQ54" s="691"/>
      <c r="AR54" s="691"/>
      <c r="AS54" s="691"/>
      <c r="AT54" s="691"/>
      <c r="AU54" s="691"/>
      <c r="AV54" s="691"/>
      <c r="AW54" s="691"/>
      <c r="AX54" s="691"/>
      <c r="AY54" s="691"/>
      <c r="AZ54" s="691"/>
      <c r="BA54" s="691"/>
      <c r="BB54" s="691"/>
      <c r="BC54" s="691"/>
      <c r="BD54" s="691"/>
      <c r="BE54" s="691"/>
      <c r="BF54" s="691"/>
      <c r="BG54" s="691"/>
      <c r="BH54" s="691"/>
      <c r="BI54" s="691"/>
      <c r="BJ54" s="691"/>
      <c r="BK54" s="30"/>
    </row>
    <row r="55" spans="1:63" s="1" customFormat="1" ht="11.25" customHeight="1" x14ac:dyDescent="0.2">
      <c r="A55" s="17"/>
      <c r="B55" s="640" t="s">
        <v>193</v>
      </c>
      <c r="C55" s="640"/>
      <c r="D55" s="640"/>
      <c r="E55" s="640"/>
      <c r="F55" s="640"/>
      <c r="G55" s="640"/>
      <c r="H55" s="640"/>
      <c r="I55" s="640"/>
      <c r="J55" s="640"/>
      <c r="K55" s="640"/>
      <c r="L55" s="640"/>
      <c r="M55" s="640"/>
      <c r="N55" s="640"/>
      <c r="O55" s="640"/>
      <c r="P55" s="640"/>
      <c r="Q55" s="640"/>
      <c r="R55" s="640"/>
      <c r="S55" s="21"/>
      <c r="T55" s="21"/>
      <c r="U55" s="652" t="e">
        <f>IF(PercentComplete&gt;=60%,0,IF(FSEOG1=0,0,IF((BoxO-$U$46-$U$47-$U$48-$U$49-$U$50-$U$52-$U$53-$U$54)&gt;FSEOG1,FSEOG1,(BoxO-$U$46-$U$47-$U$48-$U$49-$U$50-$U$52-$U$53-$U$54))))</f>
        <v>#VALUE!</v>
      </c>
      <c r="V55" s="653"/>
      <c r="W55" s="653"/>
      <c r="X55" s="653"/>
      <c r="Y55" s="653"/>
      <c r="Z55" s="653"/>
      <c r="AA55" s="653"/>
      <c r="AB55" s="653"/>
      <c r="AC55" s="653"/>
      <c r="AD55" s="654"/>
      <c r="AE55" s="18"/>
      <c r="AF55" s="23"/>
      <c r="AG55" s="17"/>
      <c r="AH55" s="688" t="s">
        <v>8</v>
      </c>
      <c r="AI55" s="688"/>
      <c r="AJ55" s="688"/>
      <c r="AK55" s="688"/>
      <c r="AL55" s="688"/>
      <c r="AM55" s="688"/>
      <c r="AN55" s="688"/>
      <c r="AO55" s="688"/>
      <c r="AP55" s="688"/>
      <c r="AQ55" s="688"/>
      <c r="AR55" s="688"/>
      <c r="AS55" s="688"/>
      <c r="AT55" s="688"/>
      <c r="AU55" s="688"/>
      <c r="AV55" s="688"/>
      <c r="AW55" s="688"/>
      <c r="AX55" s="688"/>
      <c r="AY55" s="688"/>
      <c r="AZ55" s="688"/>
      <c r="BA55" s="692" t="s">
        <v>186</v>
      </c>
      <c r="BB55" s="692"/>
      <c r="BC55" s="692"/>
      <c r="BD55" s="692"/>
      <c r="BE55" s="692"/>
      <c r="BF55" s="692"/>
      <c r="BG55" s="692"/>
      <c r="BH55" s="692"/>
      <c r="BI55" s="692"/>
      <c r="BJ55" s="10"/>
      <c r="BK55" s="18"/>
    </row>
    <row r="56" spans="1:63" s="1" customFormat="1" ht="11.25" customHeight="1" x14ac:dyDescent="0.2">
      <c r="A56" s="1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10"/>
      <c r="T56" s="10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18"/>
      <c r="AF56" s="23"/>
      <c r="AG56" s="17"/>
      <c r="AH56" s="689" t="s">
        <v>13</v>
      </c>
      <c r="AI56" s="689"/>
      <c r="AJ56" s="689"/>
      <c r="AK56" s="689"/>
      <c r="AL56" s="689"/>
      <c r="AM56" s="689"/>
      <c r="AN56" s="689"/>
      <c r="AO56" s="689"/>
      <c r="AP56" s="689"/>
      <c r="AQ56" s="689"/>
      <c r="AR56" s="689"/>
      <c r="AS56" s="689"/>
      <c r="AT56" s="689"/>
      <c r="AU56" s="689"/>
      <c r="AV56" s="689"/>
      <c r="AW56" s="689"/>
      <c r="AX56" s="689"/>
      <c r="AY56" s="689"/>
      <c r="AZ56" s="690"/>
      <c r="BA56" s="687" t="e">
        <f>IF(BoxU="STOP","STOP",IF(BoxU="N/A","N/A",IF(Pell1=0,0,IF(Pell1&lt;BoxU,Pell1-$U$51,BoxU))))</f>
        <v>#VALUE!</v>
      </c>
      <c r="BB56" s="687"/>
      <c r="BC56" s="687"/>
      <c r="BD56" s="687"/>
      <c r="BE56" s="687"/>
      <c r="BF56" s="687"/>
      <c r="BG56" s="687"/>
      <c r="BH56" s="687"/>
      <c r="BI56" s="687"/>
      <c r="BJ56" s="10"/>
      <c r="BK56" s="18"/>
    </row>
    <row r="57" spans="1:63" s="1" customFormat="1" ht="11.25" customHeight="1" x14ac:dyDescent="0.2">
      <c r="A57" s="1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10"/>
      <c r="T57" s="10"/>
      <c r="U57" s="10"/>
      <c r="V57" s="10"/>
      <c r="W57" s="77"/>
      <c r="X57" s="77"/>
      <c r="Y57" s="77"/>
      <c r="Z57" s="77"/>
      <c r="AA57" s="77"/>
      <c r="AB57" s="77"/>
      <c r="AC57" s="77"/>
      <c r="AD57" s="77"/>
      <c r="AE57" s="18"/>
      <c r="AF57" s="23"/>
      <c r="AG57" s="17"/>
      <c r="AH57" s="689" t="s">
        <v>187</v>
      </c>
      <c r="AI57" s="689"/>
      <c r="AJ57" s="689"/>
      <c r="AK57" s="689"/>
      <c r="AL57" s="689"/>
      <c r="AM57" s="689"/>
      <c r="AN57" s="689"/>
      <c r="AO57" s="689"/>
      <c r="AP57" s="689"/>
      <c r="AQ57" s="689"/>
      <c r="AR57" s="689"/>
      <c r="AS57" s="689"/>
      <c r="AT57" s="689"/>
      <c r="AU57" s="689"/>
      <c r="AV57" s="689"/>
      <c r="AW57" s="689"/>
      <c r="AX57" s="689"/>
      <c r="AY57" s="689"/>
      <c r="AZ57" s="690"/>
      <c r="BA57" s="687" t="e">
        <f>IF(BoxU="STOP","STOP",IF(BoxU="N/A","N/A",IF(IRAQ1=0,0,IF((BoxU-$BA$56)&gt;IRAQ1,IRAQ1-$U$53,(BoxU-$BA$56)))))</f>
        <v>#VALUE!</v>
      </c>
      <c r="BB57" s="687"/>
      <c r="BC57" s="687"/>
      <c r="BD57" s="687"/>
      <c r="BE57" s="687"/>
      <c r="BF57" s="687"/>
      <c r="BG57" s="687"/>
      <c r="BH57" s="687"/>
      <c r="BI57" s="687"/>
      <c r="BJ57" s="10"/>
      <c r="BK57" s="18"/>
    </row>
    <row r="58" spans="1:63" s="1" customFormat="1" ht="11.25" customHeight="1" x14ac:dyDescent="0.2">
      <c r="A58" s="17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8"/>
      <c r="AF58" s="23"/>
      <c r="AG58" s="17"/>
      <c r="AH58" s="689" t="s">
        <v>17</v>
      </c>
      <c r="AI58" s="689"/>
      <c r="AJ58" s="689"/>
      <c r="AK58" s="689"/>
      <c r="AL58" s="689"/>
      <c r="AM58" s="689"/>
      <c r="AN58" s="689"/>
      <c r="AO58" s="689"/>
      <c r="AP58" s="689"/>
      <c r="AQ58" s="689"/>
      <c r="AR58" s="689"/>
      <c r="AS58" s="689"/>
      <c r="AT58" s="689"/>
      <c r="AU58" s="689"/>
      <c r="AV58" s="689"/>
      <c r="AW58" s="689"/>
      <c r="AX58" s="689"/>
      <c r="AY58" s="689"/>
      <c r="AZ58" s="690"/>
      <c r="BA58" s="687" t="e">
        <f>IF(BoxU="STOP","STOP",IF(BoxU="N/A","N/A",IF(FSEOG1=0,0,IF((BoxU-$BA$56-$BA$57)&gt;FSEOG1,FSEOG1-$U$54,(BoxU-$BA$56-$BA$57)))))</f>
        <v>#VALUE!</v>
      </c>
      <c r="BB58" s="687"/>
      <c r="BC58" s="687"/>
      <c r="BD58" s="687"/>
      <c r="BE58" s="687"/>
      <c r="BF58" s="687"/>
      <c r="BG58" s="687"/>
      <c r="BH58" s="687"/>
      <c r="BI58" s="687"/>
      <c r="BJ58" s="10"/>
      <c r="BK58" s="18"/>
    </row>
    <row r="59" spans="1:63" s="1" customFormat="1" ht="12" x14ac:dyDescent="0.2">
      <c r="A59" s="17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8"/>
      <c r="AF59" s="23"/>
      <c r="AG59" s="17"/>
      <c r="AH59" s="689" t="s">
        <v>18</v>
      </c>
      <c r="AI59" s="689"/>
      <c r="AJ59" s="689"/>
      <c r="AK59" s="689"/>
      <c r="AL59" s="689"/>
      <c r="AM59" s="689"/>
      <c r="AN59" s="689"/>
      <c r="AO59" s="689"/>
      <c r="AP59" s="689"/>
      <c r="AQ59" s="689"/>
      <c r="AR59" s="689"/>
      <c r="AS59" s="689"/>
      <c r="AT59" s="689"/>
      <c r="AU59" s="689"/>
      <c r="AV59" s="689"/>
      <c r="AW59" s="689"/>
      <c r="AX59" s="689"/>
      <c r="AY59" s="689"/>
      <c r="AZ59" s="690"/>
      <c r="BA59" s="687" t="e">
        <f>IF(BoxU="STOP","STOP",IF(BoxU="N/A","N/A",IF(TEACH1=0,0,IF((BoxU-$BA$56-$BA$57-$BA$58)&gt;TEACH1,TEACH1-$U$55,(BoxU-$BA$56-$BA$57-$BA$58)))))</f>
        <v>#VALUE!</v>
      </c>
      <c r="BB59" s="687"/>
      <c r="BC59" s="687"/>
      <c r="BD59" s="687"/>
      <c r="BE59" s="687"/>
      <c r="BF59" s="687"/>
      <c r="BG59" s="687"/>
      <c r="BH59" s="687"/>
      <c r="BI59" s="687"/>
      <c r="BJ59" s="10"/>
      <c r="BK59" s="18"/>
    </row>
    <row r="60" spans="1:63" s="1" customFormat="1" ht="12" x14ac:dyDescent="0.2">
      <c r="A60" s="17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8"/>
      <c r="AF60" s="23"/>
      <c r="AG60" s="1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7"/>
      <c r="BH60" s="77"/>
      <c r="BI60" s="77"/>
      <c r="BJ60" s="10"/>
      <c r="BK60" s="18"/>
    </row>
    <row r="61" spans="1:63" s="1" customFormat="1" ht="12" x14ac:dyDescent="0.2">
      <c r="A61" s="17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8"/>
      <c r="AF61" s="23"/>
      <c r="AG61" s="1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10"/>
      <c r="BK61" s="18"/>
    </row>
    <row r="62" spans="1:63" s="1" customFormat="1" ht="3" customHeight="1" x14ac:dyDescent="0.2">
      <c r="A62" s="20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2"/>
      <c r="AF62" s="23"/>
      <c r="AG62" s="20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2"/>
    </row>
    <row r="63" spans="1:63" s="1" customFormat="1" ht="12" x14ac:dyDescent="0.2">
      <c r="AF63" s="23"/>
    </row>
    <row r="64" spans="1:63" s="1" customFormat="1" ht="12" x14ac:dyDescent="0.2">
      <c r="AF64" s="23"/>
    </row>
    <row r="65" spans="32:32" s="1" customFormat="1" ht="12" x14ac:dyDescent="0.2">
      <c r="AF65" s="23"/>
    </row>
    <row r="66" spans="32:32" s="1" customFormat="1" ht="12" x14ac:dyDescent="0.2">
      <c r="AF66" s="23"/>
    </row>
    <row r="67" spans="32:32" s="1" customFormat="1" ht="12" x14ac:dyDescent="0.2">
      <c r="AF67" s="23"/>
    </row>
    <row r="68" spans="32:32" s="1" customFormat="1" ht="12" x14ac:dyDescent="0.2">
      <c r="AF68" s="23"/>
    </row>
    <row r="69" spans="32:32" s="1" customFormat="1" ht="12" x14ac:dyDescent="0.2">
      <c r="AF69" s="23"/>
    </row>
    <row r="70" spans="32:32" s="1" customFormat="1" ht="12" x14ac:dyDescent="0.2">
      <c r="AF70" s="23"/>
    </row>
    <row r="71" spans="32:32" s="1" customFormat="1" ht="12" x14ac:dyDescent="0.2">
      <c r="AF71" s="23"/>
    </row>
    <row r="72" spans="32:32" s="1" customFormat="1" ht="12" x14ac:dyDescent="0.2">
      <c r="AF72" s="23"/>
    </row>
    <row r="73" spans="32:32" s="1" customFormat="1" ht="12" x14ac:dyDescent="0.2">
      <c r="AF73" s="23"/>
    </row>
    <row r="74" spans="32:32" s="1" customFormat="1" ht="12" x14ac:dyDescent="0.2">
      <c r="AF74" s="23"/>
    </row>
    <row r="75" spans="32:32" s="1" customFormat="1" ht="12" x14ac:dyDescent="0.2">
      <c r="AF75" s="23"/>
    </row>
    <row r="76" spans="32:32" s="1" customFormat="1" ht="12" x14ac:dyDescent="0.2">
      <c r="AF76" s="23"/>
    </row>
    <row r="77" spans="32:32" s="1" customFormat="1" ht="12" x14ac:dyDescent="0.2">
      <c r="AF77" s="23"/>
    </row>
    <row r="78" spans="32:32" s="1" customFormat="1" ht="12" x14ac:dyDescent="0.2">
      <c r="AF78" s="23"/>
    </row>
    <row r="79" spans="32:32" s="1" customFormat="1" ht="12" x14ac:dyDescent="0.2">
      <c r="AF79" s="23"/>
    </row>
    <row r="80" spans="32:32" s="1" customFormat="1" ht="12" x14ac:dyDescent="0.2">
      <c r="AF80" s="23"/>
    </row>
    <row r="81" spans="32:32" s="1" customFormat="1" ht="12" x14ac:dyDescent="0.2">
      <c r="AF81" s="23"/>
    </row>
    <row r="82" spans="32:32" s="1" customFormat="1" ht="12" x14ac:dyDescent="0.2">
      <c r="AF82" s="23"/>
    </row>
    <row r="83" spans="32:32" s="1" customFormat="1" ht="12" x14ac:dyDescent="0.2">
      <c r="AF83" s="23"/>
    </row>
    <row r="84" spans="32:32" s="1" customFormat="1" ht="12" x14ac:dyDescent="0.2">
      <c r="AF84" s="23"/>
    </row>
    <row r="85" spans="32:32" s="1" customFormat="1" ht="12" x14ac:dyDescent="0.2">
      <c r="AF85" s="23"/>
    </row>
    <row r="86" spans="32:32" s="1" customFormat="1" ht="12" x14ac:dyDescent="0.2">
      <c r="AF86" s="23"/>
    </row>
    <row r="87" spans="32:32" s="1" customFormat="1" ht="12" x14ac:dyDescent="0.2">
      <c r="AF87" s="23"/>
    </row>
    <row r="88" spans="32:32" s="1" customFormat="1" ht="12" x14ac:dyDescent="0.2">
      <c r="AF88" s="23"/>
    </row>
    <row r="89" spans="32:32" s="1" customFormat="1" ht="12" x14ac:dyDescent="0.2">
      <c r="AF89" s="23"/>
    </row>
    <row r="90" spans="32:32" s="1" customFormat="1" ht="12" x14ac:dyDescent="0.2">
      <c r="AF90" s="23"/>
    </row>
    <row r="91" spans="32:32" s="1" customFormat="1" ht="12" x14ac:dyDescent="0.2">
      <c r="AF91" s="23"/>
    </row>
    <row r="92" spans="32:32" s="1" customFormat="1" ht="12" x14ac:dyDescent="0.2">
      <c r="AF92" s="23"/>
    </row>
    <row r="93" spans="32:32" s="1" customFormat="1" ht="12" x14ac:dyDescent="0.2">
      <c r="AF93" s="23"/>
    </row>
    <row r="94" spans="32:32" s="1" customFormat="1" ht="12" x14ac:dyDescent="0.2">
      <c r="AF94" s="23"/>
    </row>
    <row r="95" spans="32:32" s="1" customFormat="1" ht="12" x14ac:dyDescent="0.2">
      <c r="AF95" s="23"/>
    </row>
  </sheetData>
  <sheetProtection sheet="1" objects="1" scenarios="1" selectLockedCells="1"/>
  <mergeCells count="148">
    <mergeCell ref="BA58:BI58"/>
    <mergeCell ref="BA59:BI59"/>
    <mergeCell ref="BA57:BI57"/>
    <mergeCell ref="AH55:AZ55"/>
    <mergeCell ref="AH56:AZ56"/>
    <mergeCell ref="AH58:AZ58"/>
    <mergeCell ref="AH59:AZ59"/>
    <mergeCell ref="AH57:AZ57"/>
    <mergeCell ref="AH53:BI53"/>
    <mergeCell ref="AH54:BJ54"/>
    <mergeCell ref="BA56:BI56"/>
    <mergeCell ref="BA55:BI55"/>
    <mergeCell ref="AG47:BK47"/>
    <mergeCell ref="AH48:BK48"/>
    <mergeCell ref="AH49:BK49"/>
    <mergeCell ref="AH50:BJ50"/>
    <mergeCell ref="AH51:BJ51"/>
    <mergeCell ref="AH52:BI52"/>
    <mergeCell ref="AH36:BJ36"/>
    <mergeCell ref="AH35:BJ35"/>
    <mergeCell ref="AH34:BJ34"/>
    <mergeCell ref="AH43:BJ43"/>
    <mergeCell ref="AH46:BJ46"/>
    <mergeCell ref="AH42:BJ42"/>
    <mergeCell ref="AH41:BJ41"/>
    <mergeCell ref="AH40:BJ40"/>
    <mergeCell ref="AH37:BJ37"/>
    <mergeCell ref="AH44:AO44"/>
    <mergeCell ref="AQ44:AY44"/>
    <mergeCell ref="BA44:BB44"/>
    <mergeCell ref="BC44:BJ44"/>
    <mergeCell ref="AH45:AO45"/>
    <mergeCell ref="AQ45:AY45"/>
    <mergeCell ref="AH38:AO38"/>
    <mergeCell ref="AQ38:AY38"/>
    <mergeCell ref="BA38:BB38"/>
    <mergeCell ref="BC38:BJ38"/>
    <mergeCell ref="AH39:AO39"/>
    <mergeCell ref="AQ39:AY39"/>
    <mergeCell ref="AG27:BK27"/>
    <mergeCell ref="AH32:AO32"/>
    <mergeCell ref="AQ32:AY32"/>
    <mergeCell ref="BA32:BB32"/>
    <mergeCell ref="BC32:BJ32"/>
    <mergeCell ref="AH33:AO33"/>
    <mergeCell ref="AQ33:AY33"/>
    <mergeCell ref="AH28:BJ28"/>
    <mergeCell ref="AH18:BJ18"/>
    <mergeCell ref="AH25:BH25"/>
    <mergeCell ref="AH24:BH24"/>
    <mergeCell ref="AH23:BH23"/>
    <mergeCell ref="AH31:BJ31"/>
    <mergeCell ref="AH30:BJ30"/>
    <mergeCell ref="AH29:BJ29"/>
    <mergeCell ref="AG13:BK13"/>
    <mergeCell ref="AH21:AO21"/>
    <mergeCell ref="AQ21:AY21"/>
    <mergeCell ref="BA21:BB21"/>
    <mergeCell ref="BC21:BJ21"/>
    <mergeCell ref="AH22:AO22"/>
    <mergeCell ref="AQ22:AY22"/>
    <mergeCell ref="AH14:BJ14"/>
    <mergeCell ref="AH20:BJ20"/>
    <mergeCell ref="AH19:BJ19"/>
    <mergeCell ref="AQ11:AY11"/>
    <mergeCell ref="AH7:BJ7"/>
    <mergeCell ref="AH8:BB8"/>
    <mergeCell ref="AH12:BH12"/>
    <mergeCell ref="B54:R54"/>
    <mergeCell ref="U47:AD47"/>
    <mergeCell ref="U48:AD48"/>
    <mergeCell ref="U49:AD49"/>
    <mergeCell ref="U50:AD50"/>
    <mergeCell ref="B32:H32"/>
    <mergeCell ref="J32:Q32"/>
    <mergeCell ref="T37:U37"/>
    <mergeCell ref="V37:AC37"/>
    <mergeCell ref="U31:AD31"/>
    <mergeCell ref="A39:AE39"/>
    <mergeCell ref="J25:P25"/>
    <mergeCell ref="U25:V25"/>
    <mergeCell ref="W25:AD25"/>
    <mergeCell ref="B31:H31"/>
    <mergeCell ref="J31:Q31"/>
    <mergeCell ref="AH17:BJ17"/>
    <mergeCell ref="AH16:BJ16"/>
    <mergeCell ref="AH15:BJ15"/>
    <mergeCell ref="AH26:BH26"/>
    <mergeCell ref="B55:R55"/>
    <mergeCell ref="B53:R53"/>
    <mergeCell ref="AG5:BK6"/>
    <mergeCell ref="AH10:AO10"/>
    <mergeCell ref="AQ10:AY10"/>
    <mergeCell ref="BA10:BB10"/>
    <mergeCell ref="U55:AD55"/>
    <mergeCell ref="U53:AD53"/>
    <mergeCell ref="B45:R45"/>
    <mergeCell ref="B46:R46"/>
    <mergeCell ref="B47:R47"/>
    <mergeCell ref="B48:R48"/>
    <mergeCell ref="B49:R49"/>
    <mergeCell ref="B50:R50"/>
    <mergeCell ref="B51:R51"/>
    <mergeCell ref="B52:R52"/>
    <mergeCell ref="T51:U51"/>
    <mergeCell ref="V51:AD51"/>
    <mergeCell ref="U52:AD52"/>
    <mergeCell ref="U54:AD54"/>
    <mergeCell ref="U45:AD45"/>
    <mergeCell ref="U46:AD46"/>
    <mergeCell ref="BC10:BJ10"/>
    <mergeCell ref="AH11:AO11"/>
    <mergeCell ref="U21:V22"/>
    <mergeCell ref="W21:AD22"/>
    <mergeCell ref="S21:T22"/>
    <mergeCell ref="J26:P26"/>
    <mergeCell ref="D25:H25"/>
    <mergeCell ref="W20:AD20"/>
    <mergeCell ref="R15:V15"/>
    <mergeCell ref="R16:V16"/>
    <mergeCell ref="R17:V17"/>
    <mergeCell ref="R18:V18"/>
    <mergeCell ref="R19:V19"/>
    <mergeCell ref="R20:V20"/>
    <mergeCell ref="A2:K2"/>
    <mergeCell ref="L2:AE2"/>
    <mergeCell ref="AG2:AU2"/>
    <mergeCell ref="AV2:BJ2"/>
    <mergeCell ref="AF4:AF47"/>
    <mergeCell ref="A5:AE5"/>
    <mergeCell ref="B11:H11"/>
    <mergeCell ref="J11:Q11"/>
    <mergeCell ref="S11:T11"/>
    <mergeCell ref="U11:AB11"/>
    <mergeCell ref="A13:AE13"/>
    <mergeCell ref="W15:AD15"/>
    <mergeCell ref="W16:AD16"/>
    <mergeCell ref="W17:AD17"/>
    <mergeCell ref="W18:AD18"/>
    <mergeCell ref="W19:AD19"/>
    <mergeCell ref="B12:H12"/>
    <mergeCell ref="J12:Q12"/>
    <mergeCell ref="B6:AC6"/>
    <mergeCell ref="B7:AD7"/>
    <mergeCell ref="B8:AD8"/>
    <mergeCell ref="B9:N9"/>
    <mergeCell ref="S31:T31"/>
    <mergeCell ref="R25:S25"/>
  </mergeCells>
  <pageMargins left="0.7" right="0.7" top="0.75" bottom="0.75" header="0.3" footer="0.3"/>
  <pageSetup scale="99" fitToWidth="0" orientation="portrait" cellComments="atEnd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6DEF767353ED4AABACA00104988FDB" ma:contentTypeVersion="14" ma:contentTypeDescription="Create a new document." ma:contentTypeScope="" ma:versionID="3f522305067ea2643e6715911c3722d2">
  <xsd:schema xmlns:xsd="http://www.w3.org/2001/XMLSchema" xmlns:xs="http://www.w3.org/2001/XMLSchema" xmlns:p="http://schemas.microsoft.com/office/2006/metadata/properties" xmlns:ns3="e7b1d905-24de-49f1-ac69-282527225b8e" xmlns:ns4="986a1e7c-3408-4565-abd6-87412778acff" targetNamespace="http://schemas.microsoft.com/office/2006/metadata/properties" ma:root="true" ma:fieldsID="5f3ced39d48418df7e3feba86a5e1b0f" ns3:_="" ns4:_="">
    <xsd:import namespace="e7b1d905-24de-49f1-ac69-282527225b8e"/>
    <xsd:import namespace="986a1e7c-3408-4565-abd6-87412778ac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b1d905-24de-49f1-ac69-282527225b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a1e7c-3408-4565-abd6-87412778acf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727790-15C2-4CB2-BB20-5F65FF879D68}">
  <ds:schemaRefs>
    <ds:schemaRef ds:uri="e7b1d905-24de-49f1-ac69-282527225b8e"/>
    <ds:schemaRef ds:uri="http://purl.org/dc/dcmitype/"/>
    <ds:schemaRef ds:uri="http://schemas.microsoft.com/office/infopath/2007/PartnerControls"/>
    <ds:schemaRef ds:uri="http://schemas.microsoft.com/office/2006/documentManagement/types"/>
    <ds:schemaRef ds:uri="986a1e7c-3408-4565-abd6-87412778acff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6A05E09-3549-494D-8FC4-560492762A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b1d905-24de-49f1-ac69-282527225b8e"/>
    <ds:schemaRef ds:uri="986a1e7c-3408-4565-abd6-87412778ac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55A9E6-35C1-4CE0-88EC-6BC1E0C08D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SAP TM</vt:lpstr>
      <vt:lpstr>Drop</vt:lpstr>
      <vt:lpstr>Never Start</vt:lpstr>
      <vt:lpstr>Roll</vt:lpstr>
      <vt:lpstr>Term Break</vt:lpstr>
      <vt:lpstr>Grad</vt:lpstr>
      <vt:lpstr>Term Removal</vt:lpstr>
      <vt:lpstr>Withdrawal</vt:lpstr>
      <vt:lpstr>Page 1</vt:lpstr>
      <vt:lpstr>Page 2</vt:lpstr>
      <vt:lpstr>ACGrant1</vt:lpstr>
      <vt:lpstr>ACGrant2</vt:lpstr>
      <vt:lpstr>BoxA</vt:lpstr>
      <vt:lpstr>BoxB</vt:lpstr>
      <vt:lpstr>BoxC</vt:lpstr>
      <vt:lpstr>BoxD</vt:lpstr>
      <vt:lpstr>BoxE</vt:lpstr>
      <vt:lpstr>BoxF</vt:lpstr>
      <vt:lpstr>BoxG</vt:lpstr>
      <vt:lpstr>BoxH</vt:lpstr>
      <vt:lpstr>BoxI</vt:lpstr>
      <vt:lpstr>BoxJ</vt:lpstr>
      <vt:lpstr>BoxK</vt:lpstr>
      <vt:lpstr>BoxL</vt:lpstr>
      <vt:lpstr>BoxM</vt:lpstr>
      <vt:lpstr>BoxN</vt:lpstr>
      <vt:lpstr>BoxO</vt:lpstr>
      <vt:lpstr>BoxP</vt:lpstr>
      <vt:lpstr>BoxQ</vt:lpstr>
      <vt:lpstr>BoxR</vt:lpstr>
      <vt:lpstr>BoxS</vt:lpstr>
      <vt:lpstr>BoxT</vt:lpstr>
      <vt:lpstr>BoxU</vt:lpstr>
      <vt:lpstr>FSEOG1</vt:lpstr>
      <vt:lpstr>FSEOG2</vt:lpstr>
      <vt:lpstr>GPLUS1</vt:lpstr>
      <vt:lpstr>GPlus2</vt:lpstr>
      <vt:lpstr>IRAQ1</vt:lpstr>
      <vt:lpstr>Iraq2</vt:lpstr>
      <vt:lpstr>Name</vt:lpstr>
      <vt:lpstr>Pell1</vt:lpstr>
      <vt:lpstr>Pell2</vt:lpstr>
      <vt:lpstr>PercentComplete</vt:lpstr>
      <vt:lpstr>Perk1</vt:lpstr>
      <vt:lpstr>Perk2</vt:lpstr>
      <vt:lpstr>PPlus1</vt:lpstr>
      <vt:lpstr>PPlus2</vt:lpstr>
      <vt:lpstr>'Page 1'!Print_Area</vt:lpstr>
      <vt:lpstr>'Page 2'!Print_Area</vt:lpstr>
      <vt:lpstr>Withdrawal!Print_Area</vt:lpstr>
      <vt:lpstr>SMART1</vt:lpstr>
      <vt:lpstr>SMART2</vt:lpstr>
      <vt:lpstr>Social</vt:lpstr>
      <vt:lpstr>StudentName</vt:lpstr>
      <vt:lpstr>SubLoan1</vt:lpstr>
      <vt:lpstr>SubLoan2</vt:lpstr>
      <vt:lpstr>TEACH1</vt:lpstr>
      <vt:lpstr>Teach2</vt:lpstr>
      <vt:lpstr>Unsub1</vt:lpstr>
      <vt:lpstr>Unsub2</vt:lpstr>
      <vt:lpstr>Withdraw</vt:lpstr>
    </vt:vector>
  </TitlesOfParts>
  <Company>MBTS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North</dc:creator>
  <cp:lastModifiedBy>Melissa Epperson</cp:lastModifiedBy>
  <cp:lastPrinted>2023-02-14T16:17:33Z</cp:lastPrinted>
  <dcterms:created xsi:type="dcterms:W3CDTF">2014-02-25T14:09:43Z</dcterms:created>
  <dcterms:modified xsi:type="dcterms:W3CDTF">2023-02-16T17:59:31Z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0x010100C36DEF767353ED4AABACA00104988FDB</vt:lpwstr>
  </property>
</Properties>
</file>